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бзвон" sheetId="2" state="visible" r:id="rId2"/>
    <sheet name="Итоги" sheetId="3" state="visible" r:id="rId3"/>
  </sheets>
  <definedNames>
    <definedName name="_xlnm._FilterDatabase" localSheetId="1" hidden="1">'Обзвон'!$A$1:$K$88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2028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Обзвон стоматологий и медцентров Костаная</t>
        </is>
      </c>
    </row>
    <row r="2"/>
    <row r="3">
      <c r="A3" t="inlineStr">
        <is>
          <t>Заполнять только жёлтые ячейки на листе «Обзвон».</t>
        </is>
      </c>
    </row>
    <row r="4"/>
    <row r="5">
      <c r="A5" s="2" t="inlineStr">
        <is>
          <t>ЧТО ВЫЯСНЯЕМ</t>
        </is>
      </c>
    </row>
    <row r="6">
      <c r="A6" t="inlineStr">
        <is>
          <t>Отвечают ли клиники, когда ресепшен не работает: вечером после закрытия и в выходные.</t>
        </is>
      </c>
    </row>
    <row r="7">
      <c r="A7" t="inlineStr">
        <is>
          <t>Дневной звонок нужен как точка отсчёта — без него вечерние цифры не с чем сравнить.</t>
        </is>
      </c>
    </row>
    <row r="8">
      <c r="A8" t="inlineStr">
        <is>
          <t>Мы ничего не продаём. Только фиксируем, сняли трубку или нет.</t>
        </is>
      </c>
    </row>
    <row r="9"/>
    <row r="10">
      <c r="A10" s="2" t="inlineStr">
        <is>
          <t>ТРИ ЗВОНКА НА ОРГАНИЗАЦИЮ</t>
        </is>
      </c>
    </row>
    <row r="11">
      <c r="A11" t="inlineStr">
        <is>
          <t>Рабочее время — вторник или среда около 11:00.</t>
        </is>
      </c>
    </row>
    <row r="12">
      <c r="A12" t="inlineStr">
        <is>
          <t>Нерабочее время — будний вечер, после 20:30.</t>
        </is>
      </c>
    </row>
    <row r="13">
      <c r="A13" t="inlineStr">
        <is>
          <t>Выходные — суббота около 13:00 или воскресенье около 12:00.</t>
        </is>
      </c>
    </row>
    <row r="14">
      <c r="A14" t="inlineStr">
        <is>
          <t>Ждать 6 гудков и класть трубку. Не два и не три: иначе засчитаем как «не ответили» тех,</t>
        </is>
      </c>
    </row>
    <row r="15">
      <c r="A15" t="inlineStr">
        <is>
          <t>кто просто шёл к телефону.</t>
        </is>
      </c>
    </row>
    <row r="16"/>
    <row r="17">
      <c r="A17" s="2" t="inlineStr">
        <is>
          <t>ЧТО СТАВИТЬ В ЯЧЕЙКУ</t>
        </is>
      </c>
    </row>
    <row r="18">
      <c r="A18" t="inlineStr">
        <is>
          <t>Ч — ответил живой человек</t>
        </is>
      </c>
    </row>
    <row r="19">
      <c r="A19" t="inlineStr">
        <is>
          <t>А — автоответчик или голосовое сообщение</t>
        </is>
      </c>
    </row>
    <row r="20">
      <c r="A20" t="inlineStr">
        <is>
          <t>Г — гудки, никто не взял трубку</t>
        </is>
      </c>
    </row>
    <row r="21">
      <c r="A21" t="inlineStr">
        <is>
          <t>З — занято</t>
        </is>
      </c>
    </row>
    <row r="22">
      <c r="A22" t="inlineStr">
        <is>
          <t>Н — номер недоступен или не существует</t>
        </is>
      </c>
    </row>
    <row r="23">
      <c r="A23" t="inlineStr">
        <is>
          <t>С — сбросили звонок</t>
        </is>
      </c>
    </row>
    <row r="24"/>
    <row r="25">
      <c r="A25" s="2" t="inlineStr">
        <is>
          <t>КОЛОНКА «НЕЯВКИ»</t>
        </is>
      </c>
    </row>
    <row r="26">
      <c r="A26" t="inlineStr">
        <is>
          <t>Свободный текст. Если трубку сняли — спросите и запишите своими словами:</t>
        </is>
      </c>
    </row>
    <row r="27">
      <c r="A27" t="inlineStr">
        <is>
          <t>1. «Бывает, что пациент записался и не пришёл?»</t>
        </is>
      </c>
    </row>
    <row r="28">
      <c r="A28" t="inlineStr">
        <is>
          <t>2. «Сколько таких было на прошлой неделе?» — нужно число, а не «часто».</t>
        </is>
      </c>
    </row>
    <row r="29">
      <c r="A29" t="inlineStr">
        <is>
          <t>3. «Что вы с этим сейчас делаете?» — самый важный вопрос, дайте договорить.</t>
        </is>
      </c>
    </row>
    <row r="30"/>
    <row r="31">
      <c r="A31" t="inlineStr">
        <is>
          <t>Не рассказывайте, что мы делаем сервис против неявок: услышав решение, человек начнёт</t>
        </is>
      </c>
    </row>
    <row r="32">
      <c r="A32" t="inlineStr">
        <is>
          <t>вежливо соглашаться, и ответ обесценится. Не спрашивайте «а вам было бы интересно».</t>
        </is>
      </c>
    </row>
    <row r="33">
      <c r="A33" t="inlineStr">
        <is>
          <t>Не советуйте и не спорьте.</t>
        </is>
      </c>
    </row>
    <row r="34"/>
    <row r="35">
      <c r="A35" s="2" t="inlineStr">
        <is>
          <t>КОЛОНКА «ЗАМЕТКИ»</t>
        </is>
      </c>
    </row>
    <row r="36">
      <c r="A36" t="inlineStr">
        <is>
          <t>Что сказал автоответчик — дословно. Перезвонили ли на пропущенный и когда. Другой график,</t>
        </is>
      </c>
    </row>
    <row r="37">
      <c r="A37" t="inlineStr">
        <is>
          <t>если назвали. Всё, что покажется важным.</t>
        </is>
      </c>
    </row>
    <row r="38"/>
    <row r="39">
      <c r="A39" s="2" t="inlineStr">
        <is>
          <t>ОТКУДА ДАННЫЕ</t>
        </is>
      </c>
    </row>
    <row r="40">
      <c r="A40" t="inlineStr">
        <is>
          <t>Названия, адреса и телефоны — справочник medelement, 1 сентября 2026. Часы работы — 32top.kz,</t>
        </is>
      </c>
    </row>
    <row r="41">
      <c r="A41" t="inlineStr">
        <is>
          <t>там они есть не у всех и указаны на один день; проверяйте в разговоре.</t>
        </is>
      </c>
    </row>
    <row r="42">
      <c r="A42" t="inlineStr">
        <is>
          <t>Государственные больницы, поликлиники и диспансеры из списка убраны: нас интересуют те,</t>
        </is>
      </c>
    </row>
    <row r="43">
      <c r="A43" t="inlineStr">
        <is>
          <t>кто сам отвечает за свою запись.</t>
        </is>
      </c>
    </row>
    <row r="44"/>
    <row r="45">
      <c r="A45" t="inlineStr">
        <is>
          <t>Звонить все дни с одного номера, и с того, на который готовы ответить утром:</t>
        </is>
      </c>
    </row>
    <row r="46">
      <c r="A46" t="inlineStr">
        <is>
          <t>часть организаций перезванивает на пропущенный.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9" customWidth="1" min="3" max="3"/>
    <col width="19" customWidth="1" min="4" max="4"/>
    <col width="34" customWidth="1" min="5" max="5"/>
    <col width="14" customWidth="1" min="6" max="6"/>
    <col width="15" customWidth="1" min="7" max="7"/>
    <col width="17" customWidth="1" min="8" max="8"/>
    <col width="12" customWidth="1" min="9" max="9"/>
    <col width="34" customWidth="1" min="10" max="10"/>
    <col width="40" customWidth="1" min="11" max="11"/>
  </cols>
  <sheetData>
    <row r="1" ht="34" customHeight="1">
      <c r="A1" s="3" t="inlineStr">
        <is>
          <t>№</t>
        </is>
      </c>
      <c r="B1" s="3" t="inlineStr">
        <is>
          <t>Организация</t>
        </is>
      </c>
      <c r="C1" s="3" t="inlineStr">
        <is>
          <t>Телефон</t>
        </is>
      </c>
      <c r="D1" s="3" t="inlineStr">
        <is>
          <t>Доп. телефон</t>
        </is>
      </c>
      <c r="E1" s="3" t="inlineStr">
        <is>
          <t>Адрес</t>
        </is>
      </c>
      <c r="F1" s="3" t="inlineStr">
        <is>
          <t>Часы работы</t>
        </is>
      </c>
      <c r="G1" s="3" t="inlineStr">
        <is>
          <t>Рабочее время</t>
        </is>
      </c>
      <c r="H1" s="3" t="inlineStr">
        <is>
          <t>Нерабочее время</t>
        </is>
      </c>
      <c r="I1" s="3" t="inlineStr">
        <is>
          <t>Выходные</t>
        </is>
      </c>
      <c r="J1" s="3" t="inlineStr">
        <is>
          <t>Неявки</t>
        </is>
      </c>
      <c r="K1" s="3" t="inlineStr">
        <is>
          <t>Заметки</t>
        </is>
      </c>
    </row>
    <row r="2">
      <c r="A2" s="4" t="n">
        <v>1</v>
      </c>
      <c r="B2" s="5" t="inlineStr">
        <is>
          <t>Стоматологический центр "PROTETIKA"</t>
        </is>
      </c>
      <c r="C2" s="5" t="inlineStr">
        <is>
          <t>+7 776 237 84 05</t>
        </is>
      </c>
      <c r="D2" s="5" t="inlineStr">
        <is>
          <t>+7 (7142) 91 78 89</t>
        </is>
      </c>
      <c r="E2" s="5" t="inlineStr">
        <is>
          <t>пр. Абая, д. 112</t>
        </is>
      </c>
      <c r="F2" s="5" t="inlineStr"/>
      <c r="G2" s="6" t="n"/>
      <c r="H2" s="6" t="n"/>
      <c r="I2" s="6" t="n"/>
      <c r="J2" s="7" t="n"/>
      <c r="K2" s="7" t="n"/>
    </row>
    <row r="3">
      <c r="A3" s="4" t="n">
        <v>2</v>
      </c>
      <c r="B3" s="5" t="inlineStr">
        <is>
          <t>Стоматологический кабинет "МОЙ ДОКТОР"</t>
        </is>
      </c>
      <c r="C3" s="5" t="inlineStr">
        <is>
          <t>+7 705 450 98 95</t>
        </is>
      </c>
      <c r="D3" s="5" t="inlineStr"/>
      <c r="E3" s="5" t="inlineStr">
        <is>
          <t>ул. Аль-Фараби, д. 117</t>
        </is>
      </c>
      <c r="F3" s="5" t="inlineStr">
        <is>
          <t>09:00-18:00</t>
        </is>
      </c>
      <c r="G3" s="6" t="n"/>
      <c r="H3" s="6" t="n"/>
      <c r="I3" s="6" t="n"/>
      <c r="J3" s="7" t="n"/>
      <c r="K3" s="7" t="n"/>
    </row>
    <row r="4">
      <c r="A4" s="4" t="n">
        <v>3</v>
      </c>
      <c r="B4" s="5" t="inlineStr">
        <is>
          <t>Стоматология "STOMAX 72+"</t>
        </is>
      </c>
      <c r="C4" s="5" t="inlineStr">
        <is>
          <t>+7 (7142) 56 60 82</t>
        </is>
      </c>
      <c r="D4" s="5" t="inlineStr">
        <is>
          <t>+7 777 792 09 81</t>
        </is>
      </c>
      <c r="E4" s="5" t="inlineStr">
        <is>
          <t>ул. Бородина, д. 234Б</t>
        </is>
      </c>
      <c r="F4" s="5" t="inlineStr"/>
      <c r="G4" s="6" t="n"/>
      <c r="H4" s="6" t="n"/>
      <c r="I4" s="6" t="n"/>
      <c r="J4" s="7" t="n"/>
      <c r="K4" s="7" t="n"/>
    </row>
    <row r="5">
      <c r="A5" s="4" t="n">
        <v>4</v>
      </c>
      <c r="B5" s="5" t="inlineStr">
        <is>
          <t>УЗИ-кабинет доктора Анель Испосуновой</t>
        </is>
      </c>
      <c r="C5" s="5" t="inlineStr">
        <is>
          <t>+7 701 109 04 39</t>
        </is>
      </c>
      <c r="D5" s="5" t="inlineStr"/>
      <c r="E5" s="5" t="inlineStr">
        <is>
          <t>пр. Абая, д. 112</t>
        </is>
      </c>
      <c r="F5" s="5" t="inlineStr"/>
      <c r="G5" s="6" t="n"/>
      <c r="H5" s="6" t="n"/>
      <c r="I5" s="6" t="n"/>
      <c r="J5" s="7" t="n"/>
      <c r="K5" s="7" t="n"/>
    </row>
    <row r="6">
      <c r="A6" s="4" t="n">
        <v>5</v>
      </c>
      <c r="B6" s="5" t="inlineStr">
        <is>
          <t>Стоматология "DENTAL" в 7 мкр</t>
        </is>
      </c>
      <c r="C6" s="5" t="inlineStr">
        <is>
          <t>+7 (7142) 22 36 77</t>
        </is>
      </c>
      <c r="D6" s="5" t="inlineStr">
        <is>
          <t>+7 701 068 33 37</t>
        </is>
      </c>
      <c r="E6" s="5" t="inlineStr">
        <is>
          <t>мкр 7, д. 17</t>
        </is>
      </c>
      <c r="F6" s="5" t="inlineStr"/>
      <c r="G6" s="6" t="n"/>
      <c r="H6" s="6" t="n"/>
      <c r="I6" s="6" t="n"/>
      <c r="J6" s="7" t="n"/>
      <c r="K6" s="7" t="n"/>
    </row>
    <row r="7">
      <c r="A7" s="4" t="n">
        <v>6</v>
      </c>
      <c r="B7" s="5" t="inlineStr">
        <is>
          <t>Стоматология "DENTAL" на Береке</t>
        </is>
      </c>
      <c r="C7" s="5" t="inlineStr">
        <is>
          <t>+7 (7142) 28 42 96</t>
        </is>
      </c>
      <c r="D7" s="5" t="inlineStr">
        <is>
          <t>+7 701 059 33 36</t>
        </is>
      </c>
      <c r="E7" s="5" t="inlineStr">
        <is>
          <t>мкр Береке, д. 50</t>
        </is>
      </c>
      <c r="F7" s="5" t="inlineStr"/>
      <c r="G7" s="6" t="n"/>
      <c r="H7" s="6" t="n"/>
      <c r="I7" s="6" t="n"/>
      <c r="J7" s="7" t="n"/>
      <c r="K7" s="7" t="n"/>
    </row>
    <row r="8">
      <c r="A8" s="4" t="n">
        <v>7</v>
      </c>
      <c r="B8" s="5" t="inlineStr">
        <is>
          <t>Стоматология "DENTAL" на Чехова</t>
        </is>
      </c>
      <c r="C8" s="5" t="inlineStr">
        <is>
          <t>+7 (7142) 56 76 73</t>
        </is>
      </c>
      <c r="D8" s="5" t="inlineStr">
        <is>
          <t>+7 701 673 33 80</t>
        </is>
      </c>
      <c r="E8" s="5" t="inlineStr">
        <is>
          <t>ул. Чехова, д. 125</t>
        </is>
      </c>
      <c r="F8" s="5" t="inlineStr">
        <is>
          <t>09:00-19:00</t>
        </is>
      </c>
      <c r="G8" s="6" t="n"/>
      <c r="H8" s="6" t="n"/>
      <c r="I8" s="6" t="n"/>
      <c r="J8" s="7" t="n"/>
      <c r="K8" s="7" t="n"/>
    </row>
    <row r="9">
      <c r="A9" s="4" t="n">
        <v>8</v>
      </c>
      <c r="B9" s="5" t="inlineStr">
        <is>
          <t>Стоматология "DENTAL" на Чкалова</t>
        </is>
      </c>
      <c r="C9" s="5" t="inlineStr">
        <is>
          <t>+7 (7142) 26 42 16</t>
        </is>
      </c>
      <c r="D9" s="5" t="inlineStr">
        <is>
          <t>+7 701 950 33 38</t>
        </is>
      </c>
      <c r="E9" s="5" t="inlineStr">
        <is>
          <t>ул. Чкалова, д. 7</t>
        </is>
      </c>
      <c r="F9" s="5" t="inlineStr">
        <is>
          <t>09:00-19:00</t>
        </is>
      </c>
      <c r="G9" s="6" t="n"/>
      <c r="H9" s="6" t="n"/>
      <c r="I9" s="6" t="n"/>
      <c r="J9" s="7" t="n"/>
      <c r="K9" s="7" t="n"/>
    </row>
    <row r="10">
      <c r="A10" s="4" t="n">
        <v>9</v>
      </c>
      <c r="B10" s="5" t="inlineStr">
        <is>
          <t>Стоматология "DENTAL" на Каирбекова</t>
        </is>
      </c>
      <c r="C10" s="5" t="inlineStr">
        <is>
          <t>+7 (7142) 56 48 66</t>
        </is>
      </c>
      <c r="D10" s="5" t="inlineStr">
        <is>
          <t>+7 701 064 33 31</t>
        </is>
      </c>
      <c r="E10" s="5" t="inlineStr">
        <is>
          <t>ул. Каирбекова, д. 389</t>
        </is>
      </c>
      <c r="F10" s="5" t="inlineStr"/>
      <c r="G10" s="6" t="n"/>
      <c r="H10" s="6" t="n"/>
      <c r="I10" s="6" t="n"/>
      <c r="J10" s="7" t="n"/>
      <c r="K10" s="7" t="n"/>
    </row>
    <row r="11">
      <c r="A11" s="4" t="n">
        <v>10</v>
      </c>
      <c r="B11" s="5" t="inlineStr">
        <is>
          <t>Глазная клиника "ЛАЗЕР"</t>
        </is>
      </c>
      <c r="C11" s="5" t="inlineStr">
        <is>
          <t>+7 (7142) 52 22 43</t>
        </is>
      </c>
      <c r="D11" s="5" t="inlineStr">
        <is>
          <t>+7 776 714 82 42</t>
        </is>
      </c>
      <c r="E11" s="5" t="inlineStr">
        <is>
          <t>ул. Гоголя, д. 92</t>
        </is>
      </c>
      <c r="F11" s="5" t="inlineStr"/>
      <c r="G11" s="6" t="n"/>
      <c r="H11" s="6" t="n"/>
      <c r="I11" s="6" t="n"/>
      <c r="J11" s="7" t="n"/>
      <c r="K11" s="7" t="n"/>
    </row>
    <row r="12">
      <c r="A12" s="4" t="n">
        <v>11</v>
      </c>
      <c r="B12" s="5" t="inlineStr">
        <is>
          <t>Медицинский кабинет "ЖАННА"</t>
        </is>
      </c>
      <c r="C12" s="5" t="inlineStr">
        <is>
          <t>+7 (7142) 54 67 74</t>
        </is>
      </c>
      <c r="D12" s="5" t="inlineStr">
        <is>
          <t>+7 777 653 38 81</t>
        </is>
      </c>
      <c r="E12" s="5" t="inlineStr">
        <is>
          <t>ул. Амангельды, д. 76</t>
        </is>
      </c>
      <c r="F12" s="5" t="inlineStr"/>
      <c r="G12" s="6" t="n"/>
      <c r="H12" s="6" t="n"/>
      <c r="I12" s="6" t="n"/>
      <c r="J12" s="7" t="n"/>
      <c r="K12" s="7" t="n"/>
    </row>
    <row r="13">
      <c r="A13" s="4" t="n">
        <v>12</v>
      </c>
      <c r="B13" s="5" t="inlineStr">
        <is>
          <t>Медцентр "ЖЕМЧУЖИНА СТОМЕД" на Пушкина</t>
        </is>
      </c>
      <c r="C13" s="5" t="inlineStr">
        <is>
          <t>+7 (7142) 50 33 00</t>
        </is>
      </c>
      <c r="D13" s="5" t="inlineStr">
        <is>
          <t>+7 707 550 63 55</t>
        </is>
      </c>
      <c r="E13" s="5" t="inlineStr">
        <is>
          <t>ул. Пушкина, д. 54</t>
        </is>
      </c>
      <c r="F13" s="5" t="inlineStr">
        <is>
          <t>09:00-20:00</t>
        </is>
      </c>
      <c r="G13" s="6" t="n"/>
      <c r="H13" s="6" t="n"/>
      <c r="I13" s="6" t="n"/>
      <c r="J13" s="7" t="n"/>
      <c r="K13" s="7" t="n"/>
    </row>
    <row r="14">
      <c r="A14" s="4" t="n">
        <v>13</v>
      </c>
      <c r="B14" s="5" t="inlineStr">
        <is>
          <t>Медцентр "ЖЕМЧУЖИНА СТОМЕД" на Уральской</t>
        </is>
      </c>
      <c r="C14" s="5" t="inlineStr">
        <is>
          <t>+7 (7142) 28 01 69</t>
        </is>
      </c>
      <c r="D14" s="5" t="inlineStr">
        <is>
          <t>+7 (7142) 50 33 00</t>
        </is>
      </c>
      <c r="E14" s="5" t="inlineStr">
        <is>
          <t>ул. Уральская, д. 14</t>
        </is>
      </c>
      <c r="F14" s="5" t="inlineStr"/>
      <c r="G14" s="6" t="n"/>
      <c r="H14" s="6" t="n"/>
      <c r="I14" s="6" t="n"/>
      <c r="J14" s="7" t="n"/>
      <c r="K14" s="7" t="n"/>
    </row>
    <row r="15">
      <c r="A15" s="4" t="n">
        <v>14</v>
      </c>
      <c r="B15" s="5" t="inlineStr">
        <is>
          <t>Медцентр "УРОМЕД" на Амангельды</t>
        </is>
      </c>
      <c r="C15" s="5" t="inlineStr">
        <is>
          <t>+7 (7142) 53 05 03</t>
        </is>
      </c>
      <c r="D15" s="5" t="inlineStr"/>
      <c r="E15" s="5" t="inlineStr">
        <is>
          <t>ул. Амангельды, д. 143А</t>
        </is>
      </c>
      <c r="F15" s="5" t="inlineStr"/>
      <c r="G15" s="6" t="n"/>
      <c r="H15" s="6" t="n"/>
      <c r="I15" s="6" t="n"/>
      <c r="J15" s="7" t="n"/>
      <c r="K15" s="7" t="n"/>
    </row>
    <row r="16">
      <c r="A16" s="4" t="n">
        <v>15</v>
      </c>
      <c r="B16" s="5" t="inlineStr">
        <is>
          <t>Лечебно-диагностический центр "ГИППОКРАТ"</t>
        </is>
      </c>
      <c r="C16" s="5" t="inlineStr">
        <is>
          <t>+7 (7142) 54 47 33</t>
        </is>
      </c>
      <c r="D16" s="5" t="inlineStr">
        <is>
          <t>+7 (7142) 54 34 84</t>
        </is>
      </c>
      <c r="E16" s="5" t="inlineStr">
        <is>
          <t>ул. 1 Мая, д. 151, корп. 7</t>
        </is>
      </c>
      <c r="F16" s="5" t="inlineStr"/>
      <c r="G16" s="6" t="n"/>
      <c r="H16" s="6" t="n"/>
      <c r="I16" s="6" t="n"/>
      <c r="J16" s="7" t="n"/>
      <c r="K16" s="7" t="n"/>
    </row>
    <row r="17">
      <c r="A17" s="4" t="n">
        <v>16</v>
      </c>
      <c r="B17" s="5" t="inlineStr">
        <is>
          <t>Диагностический центр "NOVA"</t>
        </is>
      </c>
      <c r="C17" s="5" t="inlineStr">
        <is>
          <t>+7 (7142) 92 73 23</t>
        </is>
      </c>
      <c r="D17" s="5" t="inlineStr">
        <is>
          <t>+7 700 400 33 33</t>
        </is>
      </c>
      <c r="E17" s="5" t="inlineStr">
        <is>
          <t>ул. Майлина, д. 57</t>
        </is>
      </c>
      <c r="F17" s="5" t="inlineStr"/>
      <c r="G17" s="6" t="n"/>
      <c r="H17" s="6" t="n"/>
      <c r="I17" s="6" t="n"/>
      <c r="J17" s="7" t="n"/>
      <c r="K17" s="7" t="n"/>
    </row>
    <row r="18">
      <c r="A18" s="4" t="n">
        <v>17</v>
      </c>
      <c r="B18" s="5" t="inlineStr">
        <is>
          <t>Медцентр "ДНК КЛИНИКА"</t>
        </is>
      </c>
      <c r="C18" s="5" t="inlineStr">
        <is>
          <t>+7 (7142) 91 45 34</t>
        </is>
      </c>
      <c r="D18" s="5" t="inlineStr">
        <is>
          <t>+7 771 058 99 81</t>
        </is>
      </c>
      <c r="E18" s="5" t="inlineStr">
        <is>
          <t>ул. Баймагамбетова, д. 30Б</t>
        </is>
      </c>
      <c r="F18" s="5" t="inlineStr"/>
      <c r="G18" s="6" t="n"/>
      <c r="H18" s="6" t="n"/>
      <c r="I18" s="6" t="n"/>
      <c r="J18" s="7" t="n"/>
      <c r="K18" s="7" t="n"/>
    </row>
    <row r="19">
      <c r="A19" s="4" t="n">
        <v>18</v>
      </c>
      <c r="B19" s="5" t="inlineStr">
        <is>
          <t>Кабинет ревматолога на Толстого 50</t>
        </is>
      </c>
      <c r="C19" s="5" t="inlineStr">
        <is>
          <t>+7 708 657 65 86</t>
        </is>
      </c>
      <c r="D19" s="5" t="inlineStr"/>
      <c r="E19" s="5" t="inlineStr">
        <is>
          <t>ул. Толстого, д. 50 (аптека №59)</t>
        </is>
      </c>
      <c r="F19" s="5" t="inlineStr"/>
      <c r="G19" s="6" t="n"/>
      <c r="H19" s="6" t="n"/>
      <c r="I19" s="6" t="n"/>
      <c r="J19" s="7" t="n"/>
      <c r="K19" s="7" t="n"/>
    </row>
    <row r="20">
      <c r="A20" s="4" t="n">
        <v>19</v>
      </c>
      <c r="B20" s="5" t="inlineStr">
        <is>
          <t>Медцентр "ADAM"</t>
        </is>
      </c>
      <c r="C20" s="5" t="inlineStr">
        <is>
          <t>+7 771 293 01 95</t>
        </is>
      </c>
      <c r="D20" s="5" t="inlineStr">
        <is>
          <t>+7 (7142) 57 90 82</t>
        </is>
      </c>
      <c r="E20" s="5" t="inlineStr">
        <is>
          <t>пр. Назарбаева, д. 187/1</t>
        </is>
      </c>
      <c r="F20" s="5" t="inlineStr"/>
      <c r="G20" s="6" t="n"/>
      <c r="H20" s="6" t="n"/>
      <c r="I20" s="6" t="n"/>
      <c r="J20" s="7" t="n"/>
      <c r="K20" s="7" t="n"/>
    </row>
    <row r="21">
      <c r="A21" s="4" t="n">
        <v>20</v>
      </c>
      <c r="B21" s="5" t="inlineStr">
        <is>
          <t>Стоматология "ОДОНТИК"</t>
        </is>
      </c>
      <c r="C21" s="5" t="inlineStr">
        <is>
          <t>+7 777 236 38 15</t>
        </is>
      </c>
      <c r="D21" s="5" t="inlineStr"/>
      <c r="E21" s="5" t="inlineStr">
        <is>
          <t>ул. Урожайная, д. 16</t>
        </is>
      </c>
      <c r="F21" s="5" t="inlineStr">
        <is>
          <t>09:00-18:00</t>
        </is>
      </c>
      <c r="G21" s="6" t="n"/>
      <c r="H21" s="6" t="n"/>
      <c r="I21" s="6" t="n"/>
      <c r="J21" s="7" t="n"/>
      <c r="K21" s="7" t="n"/>
    </row>
    <row r="22">
      <c r="A22" s="4" t="n">
        <v>21</v>
      </c>
      <c r="B22" s="5" t="inlineStr">
        <is>
          <t>Диагностический центр "МАГНЕСИЯ"</t>
        </is>
      </c>
      <c r="C22" s="5" t="inlineStr">
        <is>
          <t>+7 (7142) 52 40 81</t>
        </is>
      </c>
      <c r="D22" s="5" t="inlineStr">
        <is>
          <t>+7 (7142) 52 22 56</t>
        </is>
      </c>
      <c r="E22" s="5" t="inlineStr">
        <is>
          <t>ул. Баймагамбетова, д. 213</t>
        </is>
      </c>
      <c r="F22" s="5" t="inlineStr"/>
      <c r="G22" s="6" t="n"/>
      <c r="H22" s="6" t="n"/>
      <c r="I22" s="6" t="n"/>
      <c r="J22" s="7" t="n"/>
      <c r="K22" s="7" t="n"/>
    </row>
    <row r="23">
      <c r="A23" s="4" t="n">
        <v>22</v>
      </c>
      <c r="B23" s="5" t="inlineStr">
        <is>
          <t>Медцентр "МАРИЯМ"</t>
        </is>
      </c>
      <c r="C23" s="5" t="inlineStr">
        <is>
          <t>+7 (7142) 51 12 63</t>
        </is>
      </c>
      <c r="D23" s="5" t="inlineStr">
        <is>
          <t>+7 701 851 13 90</t>
        </is>
      </c>
      <c r="E23" s="5" t="inlineStr">
        <is>
          <t>ул. Гоголя, д. 92</t>
        </is>
      </c>
      <c r="F23" s="5" t="inlineStr"/>
      <c r="G23" s="6" t="n"/>
      <c r="H23" s="6" t="n"/>
      <c r="I23" s="6" t="n"/>
      <c r="J23" s="7" t="n"/>
      <c r="K23" s="7" t="n"/>
    </row>
    <row r="24">
      <c r="A24" s="4" t="n">
        <v>23</v>
      </c>
      <c r="B24" s="5" t="inlineStr">
        <is>
          <t>Наркологический центр "НАДЕЖДА"</t>
        </is>
      </c>
      <c r="C24" s="5" t="inlineStr">
        <is>
          <t>+7 (7142) 54 92 26</t>
        </is>
      </c>
      <c r="D24" s="5" t="inlineStr">
        <is>
          <t>+7 777 969 07 69</t>
        </is>
      </c>
      <c r="E24" s="5" t="inlineStr">
        <is>
          <t>ул. 5 Апреля, д. 67</t>
        </is>
      </c>
      <c r="F24" s="5" t="inlineStr"/>
      <c r="G24" s="6" t="n"/>
      <c r="H24" s="6" t="n"/>
      <c r="I24" s="6" t="n"/>
      <c r="J24" s="7" t="n"/>
      <c r="K24" s="7" t="n"/>
    </row>
    <row r="25">
      <c r="A25" s="4" t="n">
        <v>24</v>
      </c>
      <c r="B25" s="5" t="inlineStr">
        <is>
          <t>Детский медцентр "МЕДИОНИКА"</t>
        </is>
      </c>
      <c r="C25" s="5" t="inlineStr">
        <is>
          <t>+7 (7142) 50 34 35</t>
        </is>
      </c>
      <c r="D25" s="5" t="inlineStr">
        <is>
          <t>+7 (7142) 50 18 55</t>
        </is>
      </c>
      <c r="E25" s="5" t="inlineStr">
        <is>
          <t>ул. Краснопартизанская, д. 73А</t>
        </is>
      </c>
      <c r="F25" s="5" t="inlineStr"/>
      <c r="G25" s="6" t="n"/>
      <c r="H25" s="6" t="n"/>
      <c r="I25" s="6" t="n"/>
      <c r="J25" s="7" t="n"/>
      <c r="K25" s="7" t="n"/>
    </row>
    <row r="26">
      <c r="A26" s="4" t="n">
        <v>25</v>
      </c>
      <c r="B26" s="5" t="inlineStr">
        <is>
          <t>Кабинет гастроэнтеролога при аптеке №59</t>
        </is>
      </c>
      <c r="C26" s="5" t="inlineStr">
        <is>
          <t>+7 775 862 52 99</t>
        </is>
      </c>
      <c r="D26" s="5" t="inlineStr"/>
      <c r="E26" s="5" t="inlineStr">
        <is>
          <t>ул. Леонида Беды, д. 26</t>
        </is>
      </c>
      <c r="F26" s="5" t="inlineStr"/>
      <c r="G26" s="6" t="n"/>
      <c r="H26" s="6" t="n"/>
      <c r="I26" s="6" t="n"/>
      <c r="J26" s="7" t="n"/>
      <c r="K26" s="7" t="n"/>
    </row>
    <row r="27">
      <c r="A27" s="4" t="n">
        <v>26</v>
      </c>
      <c r="B27" s="5" t="inlineStr">
        <is>
          <t>Наркологический центр "АЛЬТЕРНАТИВА KST"</t>
        </is>
      </c>
      <c r="C27" s="5" t="inlineStr">
        <is>
          <t>+7 (7142) 91 71 03</t>
        </is>
      </c>
      <c r="D27" s="5" t="inlineStr">
        <is>
          <t>+7 707 491 71 03</t>
        </is>
      </c>
      <c r="E27" s="5" t="inlineStr">
        <is>
          <t>ул. Майлина, д. 81</t>
        </is>
      </c>
      <c r="F27" s="5" t="inlineStr"/>
      <c r="G27" s="6" t="n"/>
      <c r="H27" s="6" t="n"/>
      <c r="I27" s="6" t="n"/>
      <c r="J27" s="7" t="n"/>
      <c r="K27" s="7" t="n"/>
    </row>
    <row r="28">
      <c r="A28" s="4" t="n">
        <v>27</v>
      </c>
      <c r="B28" s="5" t="inlineStr">
        <is>
          <t>Стоматологический центр "КОКТЕМ-3"</t>
        </is>
      </c>
      <c r="C28" s="5" t="inlineStr">
        <is>
          <t>+7 (7142) 54 96 05</t>
        </is>
      </c>
      <c r="D28" s="5" t="inlineStr">
        <is>
          <t>+7 747 752 82 53</t>
        </is>
      </c>
      <c r="E28" s="5" t="inlineStr">
        <is>
          <t>ул. Тауелсиздик, д. 87</t>
        </is>
      </c>
      <c r="F28" s="5" t="inlineStr"/>
      <c r="G28" s="6" t="n"/>
      <c r="H28" s="6" t="n"/>
      <c r="I28" s="6" t="n"/>
      <c r="J28" s="7" t="n"/>
      <c r="K28" s="7" t="n"/>
    </row>
    <row r="29">
      <c r="A29" s="4" t="n">
        <v>28</v>
      </c>
      <c r="B29" s="5" t="inlineStr">
        <is>
          <t>Медицинский кабинет "DOSMED"</t>
        </is>
      </c>
      <c r="C29" s="5" t="inlineStr">
        <is>
          <t>+7 (7142) 54 50 58</t>
        </is>
      </c>
      <c r="D29" s="5" t="inlineStr">
        <is>
          <t>+7 777 256 26 90</t>
        </is>
      </c>
      <c r="E29" s="5" t="inlineStr">
        <is>
          <t>ул. Баймагамбетова, д. 168</t>
        </is>
      </c>
      <c r="F29" s="5" t="inlineStr"/>
      <c r="G29" s="6" t="n"/>
      <c r="H29" s="6" t="n"/>
      <c r="I29" s="6" t="n"/>
      <c r="J29" s="7" t="n"/>
      <c r="K29" s="7" t="n"/>
    </row>
    <row r="30">
      <c r="A30" s="4" t="n">
        <v>29</v>
      </c>
      <c r="B30" s="5" t="inlineStr">
        <is>
          <t>Стоматология "ТУЛЕШ"</t>
        </is>
      </c>
      <c r="C30" s="5" t="inlineStr">
        <is>
          <t>+7 (7142) 22 65 55</t>
        </is>
      </c>
      <c r="D30" s="5" t="inlineStr">
        <is>
          <t>+7 776 999 32 29</t>
        </is>
      </c>
      <c r="E30" s="5" t="inlineStr">
        <is>
          <t>мкр 7, д. 15</t>
        </is>
      </c>
      <c r="F30" s="5" t="inlineStr"/>
      <c r="G30" s="6" t="n"/>
      <c r="H30" s="6" t="n"/>
      <c r="I30" s="6" t="n"/>
      <c r="J30" s="7" t="n"/>
      <c r="K30" s="7" t="n"/>
    </row>
    <row r="31">
      <c r="A31" s="4" t="n">
        <v>30</v>
      </c>
      <c r="B31" s="5" t="inlineStr">
        <is>
          <t>Стоматология "MIA DENTA"</t>
        </is>
      </c>
      <c r="C31" s="5" t="inlineStr">
        <is>
          <t>+7 (7142) 39 66 43</t>
        </is>
      </c>
      <c r="D31" s="5" t="inlineStr">
        <is>
          <t>+7 777 972 44 55</t>
        </is>
      </c>
      <c r="E31" s="5" t="inlineStr">
        <is>
          <t>ул. Алтынсарина, д. 32</t>
        </is>
      </c>
      <c r="F31" s="5" t="inlineStr"/>
      <c r="G31" s="6" t="n"/>
      <c r="H31" s="6" t="n"/>
      <c r="I31" s="6" t="n"/>
      <c r="J31" s="7" t="n"/>
      <c r="K31" s="7" t="n"/>
    </row>
    <row r="32">
      <c r="A32" s="4" t="n">
        <v>31</v>
      </c>
      <c r="B32" s="5" t="inlineStr">
        <is>
          <t>Медцентр "МЕДИКУС"</t>
        </is>
      </c>
      <c r="C32" s="5" t="inlineStr">
        <is>
          <t>+7 (7142) 28 25 43</t>
        </is>
      </c>
      <c r="D32" s="5" t="inlineStr">
        <is>
          <t>+7 777 298 53 42</t>
        </is>
      </c>
      <c r="E32" s="5" t="inlineStr">
        <is>
          <t>ул. Строительная, д. 6</t>
        </is>
      </c>
      <c r="F32" s="5" t="inlineStr"/>
      <c r="G32" s="6" t="n"/>
      <c r="H32" s="6" t="n"/>
      <c r="I32" s="6" t="n"/>
      <c r="J32" s="7" t="n"/>
      <c r="K32" s="7" t="n"/>
    </row>
    <row r="33">
      <c r="A33" s="4" t="n">
        <v>32</v>
      </c>
      <c r="B33" s="5" t="inlineStr">
        <is>
          <t>Стоматология "ДЕНТАЛ-СЕРВИС"</t>
        </is>
      </c>
      <c r="C33" s="5" t="inlineStr">
        <is>
          <t>+7 707 370 17 99</t>
        </is>
      </c>
      <c r="D33" s="5" t="inlineStr"/>
      <c r="E33" s="5" t="inlineStr">
        <is>
          <t>ул. Абая, д. 63</t>
        </is>
      </c>
      <c r="F33" s="5" t="inlineStr">
        <is>
          <t>09:00-18:00</t>
        </is>
      </c>
      <c r="G33" s="6" t="n"/>
      <c r="H33" s="6" t="n"/>
      <c r="I33" s="6" t="n"/>
      <c r="J33" s="7" t="n"/>
      <c r="K33" s="7" t="n"/>
    </row>
    <row r="34">
      <c r="A34" s="4" t="n">
        <v>33</v>
      </c>
      <c r="B34" s="5" t="inlineStr">
        <is>
          <t>Стоматология "ЭРА"</t>
        </is>
      </c>
      <c r="C34" s="5" t="inlineStr">
        <is>
          <t>+7 (7142) 56 46 46</t>
        </is>
      </c>
      <c r="D34" s="5" t="inlineStr">
        <is>
          <t>+7 747 601 93 60</t>
        </is>
      </c>
      <c r="E34" s="5" t="inlineStr">
        <is>
          <t>ул. Каирбекова, д. 377</t>
        </is>
      </c>
      <c r="F34" s="5" t="inlineStr"/>
      <c r="G34" s="6" t="n"/>
      <c r="H34" s="6" t="n"/>
      <c r="I34" s="6" t="n"/>
      <c r="J34" s="7" t="n"/>
      <c r="K34" s="7" t="n"/>
    </row>
    <row r="35">
      <c r="A35" s="4" t="n">
        <v>34</v>
      </c>
      <c r="B35" s="5" t="inlineStr">
        <is>
          <t>Стоматологический кабинет "ТОТЫ"</t>
        </is>
      </c>
      <c r="C35" s="5" t="inlineStr">
        <is>
          <t>+7 (7142) 91 73 29</t>
        </is>
      </c>
      <c r="D35" s="5" t="inlineStr">
        <is>
          <t>+7 701 473 36 63</t>
        </is>
      </c>
      <c r="E35" s="5" t="inlineStr">
        <is>
          <t>ул. Алтынсарина, д. 153</t>
        </is>
      </c>
      <c r="F35" s="5" t="inlineStr"/>
      <c r="G35" s="6" t="n"/>
      <c r="H35" s="6" t="n"/>
      <c r="I35" s="6" t="n"/>
      <c r="J35" s="7" t="n"/>
      <c r="K35" s="7" t="n"/>
    </row>
    <row r="36">
      <c r="A36" s="4" t="n">
        <v>35</v>
      </c>
      <c r="B36" s="5" t="inlineStr">
        <is>
          <t>Стоматологический кабинет "НАРИ-С"</t>
        </is>
      </c>
      <c r="C36" s="5" t="inlineStr">
        <is>
          <t>+7 (7142) 26 16 78</t>
        </is>
      </c>
      <c r="D36" s="5" t="inlineStr">
        <is>
          <t>+7 747 430 62 39</t>
        </is>
      </c>
      <c r="E36" s="5" t="inlineStr">
        <is>
          <t>пр. Абая, д. 12</t>
        </is>
      </c>
      <c r="F36" s="5" t="inlineStr">
        <is>
          <t>10:00-17:00</t>
        </is>
      </c>
      <c r="G36" s="6" t="n"/>
      <c r="H36" s="6" t="n"/>
      <c r="I36" s="6" t="n"/>
      <c r="J36" s="7" t="n"/>
      <c r="K36" s="7" t="n"/>
    </row>
    <row r="37">
      <c r="A37" s="4" t="n">
        <v>36</v>
      </c>
      <c r="B37" s="5" t="inlineStr">
        <is>
          <t>Кабинет педиатра на Чкалова 14А</t>
        </is>
      </c>
      <c r="C37" s="5" t="inlineStr">
        <is>
          <t>+7 701 497 77 58</t>
        </is>
      </c>
      <c r="D37" s="5" t="inlineStr">
        <is>
          <t>+7 (7142) 22 82 77</t>
        </is>
      </c>
      <c r="E37" s="5" t="inlineStr">
        <is>
          <t>ул. Чкалова, д. 14А</t>
        </is>
      </c>
      <c r="F37" s="5" t="inlineStr"/>
      <c r="G37" s="6" t="n"/>
      <c r="H37" s="6" t="n"/>
      <c r="I37" s="6" t="n"/>
      <c r="J37" s="7" t="n"/>
      <c r="K37" s="7" t="n"/>
    </row>
    <row r="38">
      <c r="A38" s="4" t="n">
        <v>37</v>
      </c>
      <c r="B38" s="5" t="inlineStr">
        <is>
          <t>Стоматология "ЗУБ и К"</t>
        </is>
      </c>
      <c r="C38" s="5" t="inlineStr">
        <is>
          <t>+7 (7142) 26 72 29</t>
        </is>
      </c>
      <c r="D38" s="5" t="inlineStr">
        <is>
          <t>+7 776 079 19 25</t>
        </is>
      </c>
      <c r="E38" s="5" t="inlineStr">
        <is>
          <t>ул. Чкалова, д. 14</t>
        </is>
      </c>
      <c r="F38" s="5" t="inlineStr">
        <is>
          <t>09:00-17:00</t>
        </is>
      </c>
      <c r="G38" s="6" t="n"/>
      <c r="H38" s="6" t="n"/>
      <c r="I38" s="6" t="n"/>
      <c r="J38" s="7" t="n"/>
      <c r="K38" s="7" t="n"/>
    </row>
    <row r="39">
      <c r="A39" s="4" t="n">
        <v>38</v>
      </c>
      <c r="B39" s="5" t="inlineStr">
        <is>
          <t>Центр слуха "GESUNDHEIT"</t>
        </is>
      </c>
      <c r="C39" s="5" t="inlineStr">
        <is>
          <t>+7 (7142) 54 06 61</t>
        </is>
      </c>
      <c r="D39" s="5" t="inlineStr">
        <is>
          <t>+7 701 749 59 82</t>
        </is>
      </c>
      <c r="E39" s="5" t="inlineStr">
        <is>
          <t>ул. Амангельды, д. 72</t>
        </is>
      </c>
      <c r="F39" s="5" t="inlineStr"/>
      <c r="G39" s="6" t="n"/>
      <c r="H39" s="6" t="n"/>
      <c r="I39" s="6" t="n"/>
      <c r="J39" s="7" t="n"/>
      <c r="K39" s="7" t="n"/>
    </row>
    <row r="40">
      <c r="A40" s="4" t="n">
        <v>39</v>
      </c>
      <c r="B40" s="5" t="inlineStr">
        <is>
          <t>Медцентр "КОКТЕМ-3"</t>
        </is>
      </c>
      <c r="C40" s="5" t="inlineStr">
        <is>
          <t>+7 (7142) 54 84 45</t>
        </is>
      </c>
      <c r="D40" s="5" t="inlineStr">
        <is>
          <t>+7 777 635 53 96</t>
        </is>
      </c>
      <c r="E40" s="5" t="inlineStr">
        <is>
          <t>ул. Летунова, д. 79</t>
        </is>
      </c>
      <c r="F40" s="5" t="inlineStr"/>
      <c r="G40" s="6" t="n"/>
      <c r="H40" s="6" t="n"/>
      <c r="I40" s="6" t="n"/>
      <c r="J40" s="7" t="n"/>
      <c r="K40" s="7" t="n"/>
    </row>
    <row r="41">
      <c r="A41" s="4" t="n">
        <v>40</v>
      </c>
      <c r="B41" s="5" t="inlineStr">
        <is>
          <t>Стоматология "32"</t>
        </is>
      </c>
      <c r="C41" s="5" t="inlineStr">
        <is>
          <t>+7 (7142) 55 30 03</t>
        </is>
      </c>
      <c r="D41" s="5" t="inlineStr">
        <is>
          <t>+7 776 127 64 82</t>
        </is>
      </c>
      <c r="E41" s="5" t="inlineStr">
        <is>
          <t>ул. Кобланды батыра, д. 38</t>
        </is>
      </c>
      <c r="F41" s="5" t="inlineStr"/>
      <c r="G41" s="6" t="n"/>
      <c r="H41" s="6" t="n"/>
      <c r="I41" s="6" t="n"/>
      <c r="J41" s="7" t="n"/>
      <c r="K41" s="7" t="n"/>
    </row>
    <row r="42">
      <c r="A42" s="4" t="n">
        <v>41</v>
      </c>
      <c r="B42" s="5" t="inlineStr">
        <is>
          <t>Стоматология на Майлина 18</t>
        </is>
      </c>
      <c r="C42" s="5" t="inlineStr">
        <is>
          <t>+7 (7142) 57 25 65</t>
        </is>
      </c>
      <c r="D42" s="5" t="inlineStr">
        <is>
          <t>+7 777 255 32 63</t>
        </is>
      </c>
      <c r="E42" s="5" t="inlineStr">
        <is>
          <t>ул. Майлина, д. 18</t>
        </is>
      </c>
      <c r="F42" s="5" t="inlineStr"/>
      <c r="G42" s="6" t="n"/>
      <c r="H42" s="6" t="n"/>
      <c r="I42" s="6" t="n"/>
      <c r="J42" s="7" t="n"/>
      <c r="K42" s="7" t="n"/>
    </row>
    <row r="43">
      <c r="A43" s="4" t="n">
        <v>42</v>
      </c>
      <c r="B43" s="5" t="inlineStr">
        <is>
          <t>Стоматология в мкр 9</t>
        </is>
      </c>
      <c r="C43" s="5" t="inlineStr">
        <is>
          <t>+7 777 328 57 66</t>
        </is>
      </c>
      <c r="D43" s="5" t="inlineStr">
        <is>
          <t>+7 777 562 16 33</t>
        </is>
      </c>
      <c r="E43" s="5" t="inlineStr">
        <is>
          <t>мкр 9, д. 4А</t>
        </is>
      </c>
      <c r="F43" s="5" t="inlineStr"/>
      <c r="G43" s="6" t="n"/>
      <c r="H43" s="6" t="n"/>
      <c r="I43" s="6" t="n"/>
      <c r="J43" s="7" t="n"/>
      <c r="K43" s="7" t="n"/>
    </row>
    <row r="44">
      <c r="A44" s="4" t="n">
        <v>43</v>
      </c>
      <c r="B44" s="5" t="inlineStr">
        <is>
          <t>Стоматология на Аль-Фараби 123</t>
        </is>
      </c>
      <c r="C44" s="5" t="inlineStr">
        <is>
          <t>+7 (7142) 90 02 39</t>
        </is>
      </c>
      <c r="D44" s="5" t="inlineStr">
        <is>
          <t>+7 777 134 16 88</t>
        </is>
      </c>
      <c r="E44" s="5" t="inlineStr">
        <is>
          <t>пр. Аль-Фараби, д. 123</t>
        </is>
      </c>
      <c r="F44" s="5" t="inlineStr">
        <is>
          <t>09:00-18:00</t>
        </is>
      </c>
      <c r="G44" s="6" t="n"/>
      <c r="H44" s="6" t="n"/>
      <c r="I44" s="6" t="n"/>
      <c r="J44" s="7" t="n"/>
      <c r="K44" s="7" t="n"/>
    </row>
    <row r="45">
      <c r="A45" s="4" t="n">
        <v>44</v>
      </c>
      <c r="B45" s="5" t="inlineStr">
        <is>
          <t>Стоматология "ВИТА"</t>
        </is>
      </c>
      <c r="C45" s="5" t="inlineStr">
        <is>
          <t>+7 (7142) 51 20 08</t>
        </is>
      </c>
      <c r="D45" s="5" t="inlineStr">
        <is>
          <t>+7 777 302 70 23</t>
        </is>
      </c>
      <c r="E45" s="5" t="inlineStr">
        <is>
          <t>ул. Абая, д. 160</t>
        </is>
      </c>
      <c r="F45" s="5" t="inlineStr"/>
      <c r="G45" s="6" t="n"/>
      <c r="H45" s="6" t="n"/>
      <c r="I45" s="6" t="n"/>
      <c r="J45" s="7" t="n"/>
      <c r="K45" s="7" t="n"/>
    </row>
    <row r="46">
      <c r="A46" s="4" t="n">
        <v>45</v>
      </c>
      <c r="B46" s="5" t="inlineStr">
        <is>
          <t>Стоматологический центр "НУР"</t>
        </is>
      </c>
      <c r="C46" s="5" t="inlineStr">
        <is>
          <t>+7 (7142) 28 34 29</t>
        </is>
      </c>
      <c r="D46" s="5" t="inlineStr">
        <is>
          <t>+7 747 131 98 77</t>
        </is>
      </c>
      <c r="E46" s="5" t="inlineStr">
        <is>
          <t>ул. Мауленова, д. 12/4</t>
        </is>
      </c>
      <c r="F46" s="5" t="inlineStr">
        <is>
          <t>10:00-18:00</t>
        </is>
      </c>
      <c r="G46" s="6" t="n"/>
      <c r="H46" s="6" t="n"/>
      <c r="I46" s="6" t="n"/>
      <c r="J46" s="7" t="n"/>
      <c r="K46" s="7" t="n"/>
    </row>
    <row r="47">
      <c r="A47" s="4" t="n">
        <v>46</v>
      </c>
      <c r="B47" s="5" t="inlineStr">
        <is>
          <t>Стоматология "АЙМАН"</t>
        </is>
      </c>
      <c r="C47" s="5" t="inlineStr">
        <is>
          <t>+7 (7142) 28 46 72</t>
        </is>
      </c>
      <c r="D47" s="5" t="inlineStr">
        <is>
          <t>+7 705 138 04 70</t>
        </is>
      </c>
      <c r="E47" s="5" t="inlineStr">
        <is>
          <t>ул. Карбышева, д. 19</t>
        </is>
      </c>
      <c r="F47" s="5" t="inlineStr"/>
      <c r="G47" s="6" t="n"/>
      <c r="H47" s="6" t="n"/>
      <c r="I47" s="6" t="n"/>
      <c r="J47" s="7" t="n"/>
      <c r="K47" s="7" t="n"/>
    </row>
    <row r="48">
      <c r="A48" s="4" t="n">
        <v>47</v>
      </c>
      <c r="B48" s="5" t="inlineStr">
        <is>
          <t>Кабинет дерматолога на Чехова 102</t>
        </is>
      </c>
      <c r="C48" s="5" t="inlineStr">
        <is>
          <t>+7 (7142) 56 81 40</t>
        </is>
      </c>
      <c r="D48" s="5" t="inlineStr">
        <is>
          <t>+7 777 636 26 32</t>
        </is>
      </c>
      <c r="E48" s="5" t="inlineStr">
        <is>
          <t>ул. Чехова, д. 102</t>
        </is>
      </c>
      <c r="F48" s="5" t="inlineStr"/>
      <c r="G48" s="6" t="n"/>
      <c r="H48" s="6" t="n"/>
      <c r="I48" s="6" t="n"/>
      <c r="J48" s="7" t="n"/>
      <c r="K48" s="7" t="n"/>
    </row>
    <row r="49">
      <c r="A49" s="4" t="n">
        <v>48</v>
      </c>
      <c r="B49" s="5" t="inlineStr">
        <is>
          <t>Медицинская клиника "АНДРОФАРМ"</t>
        </is>
      </c>
      <c r="C49" s="5" t="inlineStr">
        <is>
          <t>+7 (7142) 22 88 16</t>
        </is>
      </c>
      <c r="D49" s="5" t="inlineStr">
        <is>
          <t>+7 777 220 78 05</t>
        </is>
      </c>
      <c r="E49" s="5" t="inlineStr">
        <is>
          <t>мкр 8, д. 3А</t>
        </is>
      </c>
      <c r="F49" s="5" t="inlineStr"/>
      <c r="G49" s="6" t="n"/>
      <c r="H49" s="6" t="n"/>
      <c r="I49" s="6" t="n"/>
      <c r="J49" s="7" t="n"/>
      <c r="K49" s="7" t="n"/>
    </row>
    <row r="50">
      <c r="A50" s="4" t="n">
        <v>49</v>
      </c>
      <c r="B50" s="5" t="inlineStr">
        <is>
          <t>Стоматологический кабинет "ЕМ БЕРГЕН"</t>
        </is>
      </c>
      <c r="C50" s="5" t="inlineStr">
        <is>
          <t>+7 (7142) 55 38 13</t>
        </is>
      </c>
      <c r="D50" s="5" t="inlineStr">
        <is>
          <t>+7 777 139 51 27</t>
        </is>
      </c>
      <c r="E50" s="5" t="inlineStr">
        <is>
          <t>ул. Кобланды батыра, д. 31/1</t>
        </is>
      </c>
      <c r="F50" s="5" t="inlineStr"/>
      <c r="G50" s="6" t="n"/>
      <c r="H50" s="6" t="n"/>
      <c r="I50" s="6" t="n"/>
      <c r="J50" s="7" t="n"/>
      <c r="K50" s="7" t="n"/>
    </row>
    <row r="51">
      <c r="A51" s="4" t="n">
        <v>50</v>
      </c>
      <c r="B51" s="5" t="inlineStr">
        <is>
          <t>Центр доктора Бубновского</t>
        </is>
      </c>
      <c r="C51" s="5" t="inlineStr">
        <is>
          <t>+7 (7142) 26 55 91</t>
        </is>
      </c>
      <c r="D51" s="5" t="inlineStr">
        <is>
          <t>+7 775 827 93 14</t>
        </is>
      </c>
      <c r="E51" s="5" t="inlineStr">
        <is>
          <t>пр. Абая, д. 147</t>
        </is>
      </c>
      <c r="F51" s="5" t="inlineStr"/>
      <c r="G51" s="6" t="n"/>
      <c r="H51" s="6" t="n"/>
      <c r="I51" s="6" t="n"/>
      <c r="J51" s="7" t="n"/>
      <c r="K51" s="7" t="n"/>
    </row>
    <row r="52">
      <c r="A52" s="4" t="n">
        <v>51</v>
      </c>
      <c r="B52" s="5" t="inlineStr">
        <is>
          <t>Клиника "ELIZAVETA"</t>
        </is>
      </c>
      <c r="C52" s="5" t="inlineStr">
        <is>
          <t>+7 (7142) 21 22 83</t>
        </is>
      </c>
      <c r="D52" s="5" t="inlineStr">
        <is>
          <t>+7 777 742 85 17</t>
        </is>
      </c>
      <c r="E52" s="5" t="inlineStr">
        <is>
          <t>ул. Баймагамбетова, д. 302</t>
        </is>
      </c>
      <c r="F52" s="5" t="inlineStr">
        <is>
          <t>09:00-18:00</t>
        </is>
      </c>
      <c r="G52" s="6" t="n"/>
      <c r="H52" s="6" t="n"/>
      <c r="I52" s="6" t="n"/>
      <c r="J52" s="7" t="n"/>
      <c r="K52" s="7" t="n"/>
    </row>
    <row r="53">
      <c r="A53" s="4" t="n">
        <v>52</v>
      </c>
      <c r="B53" s="5" t="inlineStr">
        <is>
          <t>Стоматологическая клиника "КРОКУС"</t>
        </is>
      </c>
      <c r="C53" s="5" t="inlineStr">
        <is>
          <t>+7 (7142) 50 10 10</t>
        </is>
      </c>
      <c r="D53" s="5" t="inlineStr">
        <is>
          <t>+7 700 801 88 88</t>
        </is>
      </c>
      <c r="E53" s="5" t="inlineStr">
        <is>
          <t>ул. Дощанова, д. 19</t>
        </is>
      </c>
      <c r="F53" s="5" t="inlineStr"/>
      <c r="G53" s="6" t="n"/>
      <c r="H53" s="6" t="n"/>
      <c r="I53" s="6" t="n"/>
      <c r="J53" s="7" t="n"/>
      <c r="K53" s="7" t="n"/>
    </row>
    <row r="54">
      <c r="A54" s="4" t="n">
        <v>53</v>
      </c>
      <c r="B54" s="5" t="inlineStr">
        <is>
          <t>Стоматология "ДАНТИСТ"</t>
        </is>
      </c>
      <c r="C54" s="5" t="inlineStr">
        <is>
          <t>+7 (7142) 57 47 01</t>
        </is>
      </c>
      <c r="D54" s="5" t="inlineStr">
        <is>
          <t>+7 705 746 99 02</t>
        </is>
      </c>
      <c r="E54" s="5" t="inlineStr">
        <is>
          <t>ул. Бертрана Рубинштейна, д. 81</t>
        </is>
      </c>
      <c r="F54" s="5" t="inlineStr"/>
      <c r="G54" s="6" t="n"/>
      <c r="H54" s="6" t="n"/>
      <c r="I54" s="6" t="n"/>
      <c r="J54" s="7" t="n"/>
      <c r="K54" s="7" t="n"/>
    </row>
    <row r="55">
      <c r="A55" s="4" t="n">
        <v>54</v>
      </c>
      <c r="B55" s="5" t="inlineStr">
        <is>
          <t>Стоматология "BEST"</t>
        </is>
      </c>
      <c r="C55" s="5" t="inlineStr">
        <is>
          <t>+7 705 832 30 57</t>
        </is>
      </c>
      <c r="D55" s="5" t="inlineStr"/>
      <c r="E55" s="5" t="inlineStr">
        <is>
          <t>ул. Байтурсынова, д. 45</t>
        </is>
      </c>
      <c r="F55" s="5" t="inlineStr"/>
      <c r="G55" s="6" t="n"/>
      <c r="H55" s="6" t="n"/>
      <c r="I55" s="6" t="n"/>
      <c r="J55" s="7" t="n"/>
      <c r="K55" s="7" t="n"/>
    </row>
    <row r="56">
      <c r="A56" s="4" t="n">
        <v>55</v>
      </c>
      <c r="B56" s="5" t="inlineStr">
        <is>
          <t>Диагностический центр "MEDICAL FORTE"</t>
        </is>
      </c>
      <c r="C56" s="5" t="inlineStr">
        <is>
          <t>+7 708 475 11 49</t>
        </is>
      </c>
      <c r="D56" s="5" t="inlineStr">
        <is>
          <t>+7 771 780 02 09</t>
        </is>
      </c>
      <c r="E56" s="5" t="inlineStr">
        <is>
          <t>пр. Кобланды батыра, д. 21</t>
        </is>
      </c>
      <c r="F56" s="5" t="inlineStr"/>
      <c r="G56" s="6" t="n"/>
      <c r="H56" s="6" t="n"/>
      <c r="I56" s="6" t="n"/>
      <c r="J56" s="7" t="n"/>
      <c r="K56" s="7" t="n"/>
    </row>
    <row r="57">
      <c r="A57" s="4" t="n">
        <v>56</v>
      </c>
      <c r="B57" s="5" t="inlineStr">
        <is>
          <t>Кабинет кардиолога-ревматолога на Пушкина 54</t>
        </is>
      </c>
      <c r="C57" s="5" t="inlineStr">
        <is>
          <t>+7 (7142) 53 45 42</t>
        </is>
      </c>
      <c r="D57" s="5" t="inlineStr">
        <is>
          <t>+7 705 303 79 82</t>
        </is>
      </c>
      <c r="E57" s="5" t="inlineStr">
        <is>
          <t>ул. Пушкина, д. 54</t>
        </is>
      </c>
      <c r="F57" s="5" t="inlineStr">
        <is>
          <t>09:00-20:00</t>
        </is>
      </c>
      <c r="G57" s="6" t="n"/>
      <c r="H57" s="6" t="n"/>
      <c r="I57" s="6" t="n"/>
      <c r="J57" s="7" t="n"/>
      <c r="K57" s="7" t="n"/>
    </row>
    <row r="58">
      <c r="A58" s="4" t="n">
        <v>57</v>
      </c>
      <c r="B58" s="5" t="inlineStr">
        <is>
          <t>Стоматология "ЖЕМЧУЖИНА СТОМЕД" в мкр 8</t>
        </is>
      </c>
      <c r="C58" s="5" t="inlineStr">
        <is>
          <t>+7 (7142) 22 58 03</t>
        </is>
      </c>
      <c r="D58" s="5" t="inlineStr">
        <is>
          <t>+7 707 662 60 27</t>
        </is>
      </c>
      <c r="E58" s="5" t="inlineStr">
        <is>
          <t>мкр 8, д. 19</t>
        </is>
      </c>
      <c r="F58" s="5" t="inlineStr"/>
      <c r="G58" s="6" t="n"/>
      <c r="H58" s="6" t="n"/>
      <c r="I58" s="6" t="n"/>
      <c r="J58" s="7" t="n"/>
      <c r="K58" s="7" t="n"/>
    </row>
    <row r="59">
      <c r="A59" s="4" t="n">
        <v>58</v>
      </c>
      <c r="B59" s="5" t="inlineStr">
        <is>
          <t>Клиника "MEDICAL PARK"</t>
        </is>
      </c>
      <c r="C59" s="5" t="inlineStr">
        <is>
          <t>+7 775 814 86 73</t>
        </is>
      </c>
      <c r="D59" s="5" t="inlineStr">
        <is>
          <t>+7 705 418 47 30</t>
        </is>
      </c>
      <c r="E59" s="5" t="inlineStr">
        <is>
          <t>ул. Дощанова, д. 137/2</t>
        </is>
      </c>
      <c r="F59" s="5" t="inlineStr"/>
      <c r="G59" s="6" t="n"/>
      <c r="H59" s="6" t="n"/>
      <c r="I59" s="6" t="n"/>
      <c r="J59" s="7" t="n"/>
      <c r="K59" s="7" t="n"/>
    </row>
    <row r="60">
      <c r="A60" s="4" t="n">
        <v>59</v>
      </c>
      <c r="B60" s="5" t="inlineStr">
        <is>
          <t>Кабинет педиатра при аптеке «Домик аптекаря»</t>
        </is>
      </c>
      <c r="C60" s="5" t="inlineStr">
        <is>
          <t>+7 777 445 50 97</t>
        </is>
      </c>
      <c r="D60" s="5" t="inlineStr"/>
      <c r="E60" s="5" t="inlineStr">
        <is>
          <t>мкр 8, д. 8А</t>
        </is>
      </c>
      <c r="F60" s="5" t="inlineStr"/>
      <c r="G60" s="6" t="n"/>
      <c r="H60" s="6" t="n"/>
      <c r="I60" s="6" t="n"/>
      <c r="J60" s="7" t="n"/>
      <c r="K60" s="7" t="n"/>
    </row>
    <row r="61">
      <c r="A61" s="4" t="n">
        <v>60</v>
      </c>
      <c r="B61" s="5" t="inlineStr">
        <is>
          <t>Кабинет УЗИ на Амангельды 90</t>
        </is>
      </c>
      <c r="C61" s="5" t="inlineStr">
        <is>
          <t>+7 775 890 53 58</t>
        </is>
      </c>
      <c r="D61" s="5" t="inlineStr"/>
      <c r="E61" s="5" t="inlineStr">
        <is>
          <t>ул. Амангельды, д. 90, каб. 16</t>
        </is>
      </c>
      <c r="F61" s="5" t="inlineStr">
        <is>
          <t>09:00-18:00</t>
        </is>
      </c>
      <c r="G61" s="6" t="n"/>
      <c r="H61" s="6" t="n"/>
      <c r="I61" s="6" t="n"/>
      <c r="J61" s="7" t="n"/>
      <c r="K61" s="7" t="n"/>
    </row>
    <row r="62">
      <c r="A62" s="4" t="n">
        <v>61</v>
      </c>
      <c r="B62" s="5" t="inlineStr">
        <is>
          <t>Кабинет травматолога на Леонида Беды 26</t>
        </is>
      </c>
      <c r="C62" s="5" t="inlineStr">
        <is>
          <t>+7 747 648 64 58</t>
        </is>
      </c>
      <c r="D62" s="5" t="inlineStr">
        <is>
          <t>+7 707 398 93 44</t>
        </is>
      </c>
      <c r="E62" s="5" t="inlineStr">
        <is>
          <t>ул. Леонида Беды, д. 26</t>
        </is>
      </c>
      <c r="F62" s="5" t="inlineStr"/>
      <c r="G62" s="6" t="n"/>
      <c r="H62" s="6" t="n"/>
      <c r="I62" s="6" t="n"/>
      <c r="J62" s="7" t="n"/>
      <c r="K62" s="7" t="n"/>
    </row>
    <row r="63">
      <c r="A63" s="4" t="n">
        <v>62</v>
      </c>
      <c r="B63" s="5" t="inlineStr">
        <is>
          <t>Врачебный кабинет на Леонида Беды 26</t>
        </is>
      </c>
      <c r="C63" s="5" t="inlineStr">
        <is>
          <t>+7 777 508 87 09</t>
        </is>
      </c>
      <c r="D63" s="5" t="inlineStr"/>
      <c r="E63" s="5" t="inlineStr">
        <is>
          <t>ул. Леонида Беды, д. 26</t>
        </is>
      </c>
      <c r="F63" s="5" t="inlineStr"/>
      <c r="G63" s="6" t="n"/>
      <c r="H63" s="6" t="n"/>
      <c r="I63" s="6" t="n"/>
      <c r="J63" s="7" t="n"/>
      <c r="K63" s="7" t="n"/>
    </row>
    <row r="64">
      <c r="A64" s="4" t="n">
        <v>63</v>
      </c>
      <c r="B64" s="5" t="inlineStr">
        <is>
          <t>Стоматологический кабинет "PREMIUM DENT"</t>
        </is>
      </c>
      <c r="C64" s="5" t="inlineStr">
        <is>
          <t>+7 (7142) 50 33 27</t>
        </is>
      </c>
      <c r="D64" s="5" t="inlineStr">
        <is>
          <t>+7 777 391 25 95</t>
        </is>
      </c>
      <c r="E64" s="5" t="inlineStr">
        <is>
          <t>ул. Гоголя, д. 87</t>
        </is>
      </c>
      <c r="F64" s="5" t="inlineStr">
        <is>
          <t>09:00-17:00</t>
        </is>
      </c>
      <c r="G64" s="6" t="n"/>
      <c r="H64" s="6" t="n"/>
      <c r="I64" s="6" t="n"/>
      <c r="J64" s="7" t="n"/>
      <c r="K64" s="7" t="n"/>
    </row>
    <row r="65">
      <c r="A65" s="4" t="n">
        <v>64</v>
      </c>
      <c r="B65" s="5" t="inlineStr">
        <is>
          <t>Кабинет стоматолога на Кобланды батыра 21Б</t>
        </is>
      </c>
      <c r="C65" s="5" t="inlineStr">
        <is>
          <t>+7 (7142) 75 35 66</t>
        </is>
      </c>
      <c r="D65" s="5" t="inlineStr">
        <is>
          <t>+7 705 506 37 53</t>
        </is>
      </c>
      <c r="E65" s="5" t="inlineStr">
        <is>
          <t>ул. Кобланды батыра, д. 21Б</t>
        </is>
      </c>
      <c r="F65" s="5" t="inlineStr"/>
      <c r="G65" s="6" t="n"/>
      <c r="H65" s="6" t="n"/>
      <c r="I65" s="6" t="n"/>
      <c r="J65" s="7" t="n"/>
      <c r="K65" s="7" t="n"/>
    </row>
    <row r="66">
      <c r="A66" s="4" t="n">
        <v>65</v>
      </c>
      <c r="B66" s="5" t="inlineStr">
        <is>
          <t>Стоматология "БЕРИК &amp; К"</t>
        </is>
      </c>
      <c r="C66" s="5" t="inlineStr">
        <is>
          <t>+7 701 456 95 57</t>
        </is>
      </c>
      <c r="D66" s="5" t="inlineStr">
        <is>
          <t>+7 (7132) 54 30 31</t>
        </is>
      </c>
      <c r="E66" s="5" t="inlineStr">
        <is>
          <t>ул. Касымханова, д. 114</t>
        </is>
      </c>
      <c r="F66" s="5" t="inlineStr">
        <is>
          <t>09:00-18:00</t>
        </is>
      </c>
      <c r="G66" s="6" t="n"/>
      <c r="H66" s="6" t="n"/>
      <c r="I66" s="6" t="n"/>
      <c r="J66" s="7" t="n"/>
      <c r="K66" s="7" t="n"/>
    </row>
    <row r="67">
      <c r="A67" s="4" t="n">
        <v>66</v>
      </c>
      <c r="B67" s="5" t="inlineStr">
        <is>
          <t>Стоматологический кабинет при аптеке «Домик аптекаря»</t>
        </is>
      </c>
      <c r="C67" s="5" t="inlineStr">
        <is>
          <t>+7 777 379 13 74</t>
        </is>
      </c>
      <c r="D67" s="5" t="inlineStr">
        <is>
          <t>+7 777 379 13 75</t>
        </is>
      </c>
      <c r="E67" s="5" t="inlineStr">
        <is>
          <t>мкр 8, д. 8А</t>
        </is>
      </c>
      <c r="F67" s="5" t="inlineStr"/>
      <c r="G67" s="6" t="n"/>
      <c r="H67" s="6" t="n"/>
      <c r="I67" s="6" t="n"/>
      <c r="J67" s="7" t="n"/>
      <c r="K67" s="7" t="n"/>
    </row>
    <row r="68">
      <c r="A68" s="4" t="n">
        <v>67</v>
      </c>
      <c r="B68" s="5" t="inlineStr">
        <is>
          <t>Стоматология на Леонида Беды 26</t>
        </is>
      </c>
      <c r="C68" s="5" t="inlineStr">
        <is>
          <t>+7 777 304 15 63</t>
        </is>
      </c>
      <c r="D68" s="5" t="inlineStr">
        <is>
          <t>+7 701 764 06 80</t>
        </is>
      </c>
      <c r="E68" s="5" t="inlineStr">
        <is>
          <t>ул. Леонида Беды, д. 26</t>
        </is>
      </c>
      <c r="F68" s="5" t="inlineStr"/>
      <c r="G68" s="6" t="n"/>
      <c r="H68" s="6" t="n"/>
      <c r="I68" s="6" t="n"/>
      <c r="J68" s="7" t="n"/>
      <c r="K68" s="7" t="n"/>
    </row>
    <row r="69">
      <c r="A69" s="4" t="n">
        <v>68</v>
      </c>
      <c r="B69" s="5" t="inlineStr">
        <is>
          <t>Врачебный кабинет при аптеке «Забота» на Байтурсынова</t>
        </is>
      </c>
      <c r="C69" s="5" t="inlineStr">
        <is>
          <t>+7 701 345 01 88</t>
        </is>
      </c>
      <c r="D69" s="5" t="inlineStr">
        <is>
          <t>+7 (7142) 54 29 56</t>
        </is>
      </c>
      <c r="E69" s="5" t="inlineStr">
        <is>
          <t>ул. Байтурсынова, д. 59</t>
        </is>
      </c>
      <c r="F69" s="5" t="inlineStr"/>
      <c r="G69" s="6" t="n"/>
      <c r="H69" s="6" t="n"/>
      <c r="I69" s="6" t="n"/>
      <c r="J69" s="7" t="n"/>
      <c r="K69" s="7" t="n"/>
    </row>
    <row r="70">
      <c r="A70" s="4" t="n">
        <v>69</v>
      </c>
      <c r="B70" s="5" t="inlineStr">
        <is>
          <t>Стоматология "ДЕНТА"</t>
        </is>
      </c>
      <c r="C70" s="5" t="inlineStr">
        <is>
          <t>+7 (7142) 53 21 34</t>
        </is>
      </c>
      <c r="D70" s="5" t="inlineStr"/>
      <c r="E70" s="5" t="inlineStr">
        <is>
          <t>ул. Пушкина, д. 65</t>
        </is>
      </c>
      <c r="F70" s="5" t="inlineStr"/>
      <c r="G70" s="6" t="n"/>
      <c r="H70" s="6" t="n"/>
      <c r="I70" s="6" t="n"/>
      <c r="J70" s="7" t="n"/>
      <c r="K70" s="7" t="n"/>
    </row>
    <row r="71">
      <c r="A71" s="4" t="n">
        <v>70</v>
      </c>
      <c r="B71" s="5" t="inlineStr">
        <is>
          <t>Стоматология "А-СТОМ"</t>
        </is>
      </c>
      <c r="C71" s="5" t="inlineStr">
        <is>
          <t>+7 (7142) 54 34 86</t>
        </is>
      </c>
      <c r="D71" s="5" t="inlineStr">
        <is>
          <t>+7 777 230 53 80</t>
        </is>
      </c>
      <c r="E71" s="5" t="inlineStr">
        <is>
          <t>ул. Амангельды, д. 76</t>
        </is>
      </c>
      <c r="F71" s="5" t="inlineStr"/>
      <c r="G71" s="6" t="n"/>
      <c r="H71" s="6" t="n"/>
      <c r="I71" s="6" t="n"/>
      <c r="J71" s="7" t="n"/>
      <c r="K71" s="7" t="n"/>
    </row>
    <row r="72">
      <c r="A72" s="4" t="n">
        <v>71</v>
      </c>
      <c r="B72" s="5" t="inlineStr">
        <is>
          <t>Медцентр на Абая 162</t>
        </is>
      </c>
      <c r="C72" s="5" t="inlineStr">
        <is>
          <t>+7 (7142) 75 46 57</t>
        </is>
      </c>
      <c r="D72" s="5" t="inlineStr"/>
      <c r="E72" s="5" t="inlineStr">
        <is>
          <t>ул. Абая, д. 162</t>
        </is>
      </c>
      <c r="F72" s="5" t="inlineStr"/>
      <c r="G72" s="6" t="n"/>
      <c r="H72" s="6" t="n"/>
      <c r="I72" s="6" t="n"/>
      <c r="J72" s="7" t="n"/>
      <c r="K72" s="7" t="n"/>
    </row>
    <row r="73">
      <c r="A73" s="4" t="n">
        <v>72</v>
      </c>
      <c r="B73" s="5" t="inlineStr">
        <is>
          <t>Медцентр "ЗДОРОВЫЙ ПОЗВОНОЧНИК"</t>
        </is>
      </c>
      <c r="C73" s="5" t="inlineStr">
        <is>
          <t>+7 (7142) 26 61 61</t>
        </is>
      </c>
      <c r="D73" s="5" t="inlineStr">
        <is>
          <t>+7 777 826 61 61</t>
        </is>
      </c>
      <c r="E73" s="5" t="inlineStr">
        <is>
          <t>ул. Чкалова, д. 14</t>
        </is>
      </c>
      <c r="F73" s="5" t="inlineStr">
        <is>
          <t>09:00-17:00</t>
        </is>
      </c>
      <c r="G73" s="6" t="n"/>
      <c r="H73" s="6" t="n"/>
      <c r="I73" s="6" t="n"/>
      <c r="J73" s="7" t="n"/>
      <c r="K73" s="7" t="n"/>
    </row>
    <row r="74">
      <c r="A74" s="4" t="n">
        <v>73</v>
      </c>
      <c r="B74" s="5" t="inlineStr">
        <is>
          <t>Медцентр "УРОМЕД" в мкр Северо-Западный</t>
        </is>
      </c>
      <c r="C74" s="5" t="inlineStr">
        <is>
          <t>+7 (7142) 75 28 07</t>
        </is>
      </c>
      <c r="D74" s="5" t="inlineStr">
        <is>
          <t>+7 (7142) 75 23 07</t>
        </is>
      </c>
      <c r="E74" s="5" t="inlineStr">
        <is>
          <t>мкр Северо-Западный, 61-квартал, д. 17</t>
        </is>
      </c>
      <c r="F74" s="5" t="inlineStr"/>
      <c r="G74" s="6" t="n"/>
      <c r="H74" s="6" t="n"/>
      <c r="I74" s="6" t="n"/>
      <c r="J74" s="7" t="n"/>
      <c r="K74" s="7" t="n"/>
    </row>
    <row r="75">
      <c r="A75" s="4" t="n">
        <v>74</v>
      </c>
      <c r="B75" s="5" t="inlineStr">
        <is>
          <t>Медцентр "САЕ"</t>
        </is>
      </c>
      <c r="C75" s="5" t="inlineStr">
        <is>
          <t>+7 (7142) 56 52 52</t>
        </is>
      </c>
      <c r="D75" s="5" t="inlineStr"/>
      <c r="E75" s="5" t="inlineStr">
        <is>
          <t>ул. Каирбекова, д. 369</t>
        </is>
      </c>
      <c r="F75" s="5" t="inlineStr"/>
      <c r="G75" s="6" t="n"/>
      <c r="H75" s="6" t="n"/>
      <c r="I75" s="6" t="n"/>
      <c r="J75" s="7" t="n"/>
      <c r="K75" s="7" t="n"/>
    </row>
    <row r="76">
      <c r="A76" s="4" t="n">
        <v>75</v>
      </c>
      <c r="B76" s="5" t="inlineStr">
        <is>
          <t>Медцентр "ШАПАҒАТ"</t>
        </is>
      </c>
      <c r="C76" s="5" t="inlineStr">
        <is>
          <t>+7 (7142) 55 52 43</t>
        </is>
      </c>
      <c r="D76" s="5" t="inlineStr"/>
      <c r="E76" s="5" t="inlineStr">
        <is>
          <t>ул. Кобланды батыра, д. 31</t>
        </is>
      </c>
      <c r="F76" s="5" t="inlineStr"/>
      <c r="G76" s="6" t="n"/>
      <c r="H76" s="6" t="n"/>
      <c r="I76" s="6" t="n"/>
      <c r="J76" s="7" t="n"/>
      <c r="K76" s="7" t="n"/>
    </row>
    <row r="77">
      <c r="A77" s="4" t="n">
        <v>76</v>
      </c>
      <c r="B77" s="5" t="inlineStr">
        <is>
          <t>Медцентр "УРОМЕД" на Баймагамбетова</t>
        </is>
      </c>
      <c r="C77" s="5" t="inlineStr">
        <is>
          <t>+7 (7142) 54 51 65</t>
        </is>
      </c>
      <c r="D77" s="5" t="inlineStr">
        <is>
          <t>+7 705 450 30 80</t>
        </is>
      </c>
      <c r="E77" s="5" t="inlineStr">
        <is>
          <t>ул. Баймагамбетова, д. 168</t>
        </is>
      </c>
      <c r="F77" s="5" t="inlineStr"/>
      <c r="G77" s="6" t="n"/>
      <c r="H77" s="6" t="n"/>
      <c r="I77" s="6" t="n"/>
      <c r="J77" s="7" t="n"/>
      <c r="K77" s="7" t="n"/>
    </row>
    <row r="78">
      <c r="A78" s="4" t="n">
        <v>77</v>
      </c>
      <c r="B78" s="5" t="inlineStr">
        <is>
          <t>Кабинет дерматолога при аптеке «Домик аптекаря»</t>
        </is>
      </c>
      <c r="C78" s="5" t="inlineStr">
        <is>
          <t>+7 777 302 80 80</t>
        </is>
      </c>
      <c r="D78" s="5" t="inlineStr"/>
      <c r="E78" s="5" t="inlineStr">
        <is>
          <t>мкр 8, д. 8А</t>
        </is>
      </c>
      <c r="F78" s="5" t="inlineStr"/>
      <c r="G78" s="6" t="n"/>
      <c r="H78" s="6" t="n"/>
      <c r="I78" s="6" t="n"/>
      <c r="J78" s="7" t="n"/>
      <c r="K78" s="7" t="n"/>
    </row>
    <row r="79">
      <c r="A79" s="4" t="n">
        <v>78</v>
      </c>
      <c r="B79" s="5" t="inlineStr">
        <is>
          <t>Врачебный кабинет при аптеке «Забота» на Кобланды батыра</t>
        </is>
      </c>
      <c r="C79" s="5" t="inlineStr">
        <is>
          <t>+7 (7142) 26 52 65</t>
        </is>
      </c>
      <c r="D79" s="5" t="inlineStr"/>
      <c r="E79" s="5" t="inlineStr">
        <is>
          <t>ул. Кобланды батыра, д. 30А</t>
        </is>
      </c>
      <c r="F79" s="5" t="inlineStr"/>
      <c r="G79" s="6" t="n"/>
      <c r="H79" s="6" t="n"/>
      <c r="I79" s="6" t="n"/>
      <c r="J79" s="7" t="n"/>
      <c r="K79" s="7" t="n"/>
    </row>
    <row r="80">
      <c r="A80" s="4" t="n">
        <v>79</v>
      </c>
      <c r="B80" s="5" t="inlineStr">
        <is>
          <t>Медцентр доктора Лобкова</t>
        </is>
      </c>
      <c r="C80" s="5" t="inlineStr">
        <is>
          <t>+7 (7142) 54 92 35</t>
        </is>
      </c>
      <c r="D80" s="5" t="inlineStr"/>
      <c r="E80" s="5" t="inlineStr">
        <is>
          <t>ул. Баймагамбетова, д. 168</t>
        </is>
      </c>
      <c r="F80" s="5" t="inlineStr"/>
      <c r="G80" s="6" t="n"/>
      <c r="H80" s="6" t="n"/>
      <c r="I80" s="6" t="n"/>
      <c r="J80" s="7" t="n"/>
      <c r="K80" s="7" t="n"/>
    </row>
    <row r="81">
      <c r="A81" s="4" t="n">
        <v>80</v>
      </c>
      <c r="B81" s="5" t="inlineStr">
        <is>
          <t>Врачебный кабинет в мкр 8</t>
        </is>
      </c>
      <c r="C81" s="5" t="inlineStr">
        <is>
          <t>+7 777 234 46 09</t>
        </is>
      </c>
      <c r="D81" s="5" t="inlineStr">
        <is>
          <t>+7 775 629 81 01</t>
        </is>
      </c>
      <c r="E81" s="5" t="inlineStr">
        <is>
          <t>мкр 8, д. 3А</t>
        </is>
      </c>
      <c r="F81" s="5" t="inlineStr"/>
      <c r="G81" s="6" t="n"/>
      <c r="H81" s="6" t="n"/>
      <c r="I81" s="6" t="n"/>
      <c r="J81" s="7" t="n"/>
      <c r="K81" s="7" t="n"/>
    </row>
    <row r="82">
      <c r="A82" s="4" t="n">
        <v>81</v>
      </c>
      <c r="B82" s="5" t="inlineStr">
        <is>
          <t>Врачебный кабинет на Карбышева 51</t>
        </is>
      </c>
      <c r="C82" s="5" t="inlineStr">
        <is>
          <t>+7 (7142) 28 38 21</t>
        </is>
      </c>
      <c r="D82" s="5" t="inlineStr"/>
      <c r="E82" s="5" t="inlineStr">
        <is>
          <t>ул. Карбышева, д. 51</t>
        </is>
      </c>
      <c r="F82" s="5" t="inlineStr"/>
      <c r="G82" s="6" t="n"/>
      <c r="H82" s="6" t="n"/>
      <c r="I82" s="6" t="n"/>
      <c r="J82" s="7" t="n"/>
      <c r="K82" s="7" t="n"/>
    </row>
    <row r="83">
      <c r="A83" s="4" t="n">
        <v>82</v>
      </c>
      <c r="B83" s="5" t="inlineStr">
        <is>
          <t>Кабинет нарколога на Леонида Беды 26</t>
        </is>
      </c>
      <c r="C83" s="5" t="inlineStr">
        <is>
          <t>+7 705 901 42 82</t>
        </is>
      </c>
      <c r="D83" s="5" t="inlineStr"/>
      <c r="E83" s="5" t="inlineStr">
        <is>
          <t>ул. Леонида Беды, д. 26</t>
        </is>
      </c>
      <c r="F83" s="5" t="inlineStr"/>
      <c r="G83" s="6" t="n"/>
      <c r="H83" s="6" t="n"/>
      <c r="I83" s="6" t="n"/>
      <c r="J83" s="7" t="n"/>
      <c r="K83" s="7" t="n"/>
    </row>
    <row r="84">
      <c r="A84" s="4" t="n">
        <v>83</v>
      </c>
      <c r="B84" s="5" t="inlineStr">
        <is>
          <t>Кабинет терапевта при аптеке «85»</t>
        </is>
      </c>
      <c r="C84" s="5" t="inlineStr">
        <is>
          <t>+7 777 580 05 78</t>
        </is>
      </c>
      <c r="D84" s="5" t="inlineStr">
        <is>
          <t>+7 (7142) 54 21 05</t>
        </is>
      </c>
      <c r="E84" s="5" t="inlineStr">
        <is>
          <t>ул. Амангельды, д. 85</t>
        </is>
      </c>
      <c r="F84" s="5" t="inlineStr"/>
      <c r="G84" s="6" t="n"/>
      <c r="H84" s="6" t="n"/>
      <c r="I84" s="6" t="n"/>
      <c r="J84" s="7" t="n"/>
      <c r="K84" s="7" t="n"/>
    </row>
    <row r="85">
      <c r="A85" s="4" t="n">
        <v>84</v>
      </c>
      <c r="B85" s="5" t="inlineStr">
        <is>
          <t>Врачебный кабинет при аптеке на Алтынсарина 17</t>
        </is>
      </c>
      <c r="C85" s="5" t="inlineStr">
        <is>
          <t>+7 747 232 33 74</t>
        </is>
      </c>
      <c r="D85" s="5" t="inlineStr">
        <is>
          <t>+7 702 643 55 20</t>
        </is>
      </c>
      <c r="E85" s="5" t="inlineStr">
        <is>
          <t>ул. Алтынсарина, д. 17</t>
        </is>
      </c>
      <c r="F85" s="5" t="inlineStr"/>
      <c r="G85" s="6" t="n"/>
      <c r="H85" s="6" t="n"/>
      <c r="I85" s="6" t="n"/>
      <c r="J85" s="7" t="n"/>
      <c r="K85" s="7" t="n"/>
    </row>
    <row r="86">
      <c r="A86" s="4" t="n">
        <v>85</v>
      </c>
      <c r="B86" s="5" t="inlineStr">
        <is>
          <t>ЛОР-кабинет при аптеке «Домик аптекаря»</t>
        </is>
      </c>
      <c r="C86" s="5" t="inlineStr">
        <is>
          <t>+7 705 544 99 39</t>
        </is>
      </c>
      <c r="D86" s="5" t="inlineStr">
        <is>
          <t>+7 778 325 72 97</t>
        </is>
      </c>
      <c r="E86" s="5" t="inlineStr">
        <is>
          <t>мкр 8, д. 8А</t>
        </is>
      </c>
      <c r="F86" s="5" t="inlineStr"/>
      <c r="G86" s="6" t="n"/>
      <c r="H86" s="6" t="n"/>
      <c r="I86" s="6" t="n"/>
      <c r="J86" s="7" t="n"/>
      <c r="K86" s="7" t="n"/>
    </row>
    <row r="87">
      <c r="A87" s="4" t="n">
        <v>86</v>
      </c>
      <c r="B87" s="5" t="inlineStr">
        <is>
          <t>Кабинет гинеколога-онколога при аптеке «Домик аптекаря»</t>
        </is>
      </c>
      <c r="C87" s="5" t="inlineStr">
        <is>
          <t>+7 705 265 45 99</t>
        </is>
      </c>
      <c r="D87" s="5" t="inlineStr"/>
      <c r="E87" s="5" t="inlineStr">
        <is>
          <t>мкр 8, д. 8А</t>
        </is>
      </c>
      <c r="F87" s="5" t="inlineStr"/>
      <c r="G87" s="6" t="n"/>
      <c r="H87" s="6" t="n"/>
      <c r="I87" s="6" t="n"/>
      <c r="J87" s="7" t="n"/>
      <c r="K87" s="7" t="n"/>
    </row>
    <row r="88">
      <c r="A88" s="4" t="n">
        <v>87</v>
      </c>
      <c r="B88" s="5" t="inlineStr">
        <is>
          <t>Медцентр "ЖЕМЧУЖИНА СТОМЕД" на Наримановской</t>
        </is>
      </c>
      <c r="C88" s="5" t="inlineStr">
        <is>
          <t>+7 771 944 41 93</t>
        </is>
      </c>
      <c r="D88" s="5" t="inlineStr">
        <is>
          <t>+7 705 215 40 72</t>
        </is>
      </c>
      <c r="E88" s="5" t="inlineStr">
        <is>
          <t>ул. Наримановская, д. 54</t>
        </is>
      </c>
      <c r="F88" s="5" t="inlineStr"/>
      <c r="G88" s="6" t="n"/>
      <c r="H88" s="6" t="n"/>
      <c r="I88" s="6" t="n"/>
      <c r="J88" s="7" t="n"/>
      <c r="K88" s="7" t="n"/>
    </row>
  </sheetData>
  <autoFilter ref="A1:K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Итоги обзвона</t>
        </is>
      </c>
    </row>
    <row r="2">
      <c r="A2" t="inlineStr">
        <is>
          <t>Считается автоматически по листу «Обзвон». Ничего заполнять не нужно.</t>
        </is>
      </c>
    </row>
    <row r="4">
      <c r="A4" s="3" t="inlineStr">
        <is>
          <t>Окно</t>
        </is>
      </c>
      <c r="B4" s="3" t="inlineStr">
        <is>
          <t>Сделано звонков</t>
        </is>
      </c>
      <c r="C4" s="3" t="inlineStr">
        <is>
          <t>Ответил человек</t>
        </is>
      </c>
      <c r="D4" s="3" t="inlineStr">
        <is>
          <t>Гудки без ответа</t>
        </is>
      </c>
      <c r="E4" s="3" t="inlineStr">
        <is>
          <t>Доля гудков</t>
        </is>
      </c>
    </row>
    <row r="5">
      <c r="A5" t="inlineStr">
        <is>
          <t>Рабочее время</t>
        </is>
      </c>
      <c r="B5">
        <f>COUNTA(Обзвон!$G$2:$G$88)</f>
        <v/>
      </c>
      <c r="C5">
        <f>COUNTIF(Обзвон!$G$2:$G$88,"Ч")</f>
        <v/>
      </c>
      <c r="D5">
        <f>COUNTIF(Обзвон!$G$2:$G$88,"Г")</f>
        <v/>
      </c>
      <c r="E5" s="8">
        <f>IFERROR(COUNTIF(Обзвон!$G$2:$G$88,"Г")/COUNTA(Обзвон!$G$2:$G$88),"")</f>
        <v/>
      </c>
    </row>
    <row r="6">
      <c r="A6" t="inlineStr">
        <is>
          <t>Нерабочее время</t>
        </is>
      </c>
      <c r="B6">
        <f>COUNTA(Обзвон!$H$2:$H$88)</f>
        <v/>
      </c>
      <c r="C6">
        <f>COUNTIF(Обзвон!$H$2:$H$88,"Ч")</f>
        <v/>
      </c>
      <c r="D6">
        <f>COUNTIF(Обзвон!$H$2:$H$88,"Г")</f>
        <v/>
      </c>
      <c r="E6" s="8">
        <f>IFERROR(COUNTIF(Обзвон!$H$2:$H$88,"Г")/COUNTA(Обзвон!$H$2:$H$88),"")</f>
        <v/>
      </c>
    </row>
    <row r="7">
      <c r="A7" t="inlineStr">
        <is>
          <t>Выходные</t>
        </is>
      </c>
      <c r="B7">
        <f>COUNTA(Обзвон!$I$2:$I$88)</f>
        <v/>
      </c>
      <c r="C7">
        <f>COUNTIF(Обзвон!$I$2:$I$88,"Ч")</f>
        <v/>
      </c>
      <c r="D7">
        <f>COUNTIF(Обзвон!$I$2:$I$88,"Г")</f>
        <v/>
      </c>
      <c r="E7" s="8">
        <f>IFERROR(COUNTIF(Обзвон!$I$2:$I$88,"Г")/COUNTA(Обзвон!$I$2:$I$88),"")</f>
        <v/>
      </c>
    </row>
    <row r="9">
      <c r="A9" s="9" t="inlineStr">
        <is>
          <t>Что это значит</t>
        </is>
      </c>
    </row>
    <row r="10">
      <c r="A10" t="inlineStr">
        <is>
          <t>Порог по нерабочему времени</t>
        </is>
      </c>
      <c r="B10">
        <f>IF(E6="","нет данных",IF(E6&gt;0.4,"Продолжаем — вечером трубку не берут",IF(E6&lt;0.25,"Вечер закрывают сами — гипотеза слабая","Смотрим заметки")))</f>
        <v/>
      </c>
    </row>
    <row r="12">
      <c r="A12" t="inlineStr">
        <is>
          <t>Организаций, где хоть раз ответил человек</t>
        </is>
      </c>
      <c r="B12">
        <f>SUMPRODUCT(--(((Обзвон!$G$2:$G$88="Ч")+(Обзвон!$H$2:$H$88="Ч")+(Обзвон!$I$2:$I$88="Ч"))&gt;0))</f>
        <v/>
      </c>
    </row>
    <row r="13">
      <c r="A13" t="inlineStr">
        <is>
          <t>Заполнено ответов про неявки</t>
        </is>
      </c>
      <c r="B13">
        <f>COUNTA(Обзвон!$J$2:$J$88)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2026-09-01T16:17:53Z</dcterms:created>
  <dcterms:modified xsi:type="dcterms:W3CDTF">2026-09-01T16:18:25Z</dcterms:modified>
</cp:coreProperties>
</file>