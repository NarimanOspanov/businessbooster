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бзвон" sheetId="2" state="visible" r:id="rId2"/>
    <sheet name="Итоги" sheetId="3" state="visible" r:id="rId3"/>
  </sheets>
  <definedNames>
    <definedName name="_xlnm._FilterDatabase" localSheetId="1" hidden="1">'Обзвон'!$A$1:$Q$48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F9D55"/>
      <sz val="9"/>
    </font>
    <font>
      <name val="Arial"/>
      <b val="1"/>
      <sz val="10"/>
    </font>
    <font>
      <name val="Arial"/>
      <b val="1"/>
      <color rgb="001F2028"/>
      <sz val="15"/>
    </font>
    <font>
      <name val="Arial"/>
      <color rgb="006C7180"/>
      <sz val="9.5"/>
    </font>
    <font>
      <name val="Arial"/>
      <b val="1"/>
      <color rgb="00FFFFFF"/>
      <sz val="9.5"/>
    </font>
    <font>
      <name val="Arial"/>
      <sz val="10"/>
    </font>
    <font>
      <name val="Arial"/>
      <b val="1"/>
      <color rgb="001F2028"/>
      <sz val="13"/>
    </font>
    <font>
      <name val="Arial"/>
      <color rgb="001F2028"/>
      <sz val="10"/>
    </font>
    <font>
      <name val="Arial"/>
      <b val="1"/>
      <color rgb="00F14635"/>
      <sz val="11"/>
    </font>
    <font>
      <name val="Arial"/>
      <b val="1"/>
      <color rgb="001F2028"/>
      <sz val="10"/>
    </font>
    <font>
      <name val="Arial"/>
      <b val="1"/>
      <sz val="11"/>
    </font>
    <font>
      <name val="Arial"/>
      <b val="1"/>
      <sz val="15"/>
    </font>
    <font>
      <name val="Arial"/>
      <b val="1"/>
      <color rgb="001F2028"/>
      <sz val="11"/>
    </font>
    <font>
      <name val="Arial"/>
      <b val="1"/>
      <color rgb="00FFFFFF"/>
      <sz val="8.5"/>
    </font>
    <font>
      <name val="Arial"/>
      <i val="1"/>
      <sz val="9"/>
    </font>
    <font>
      <name val="Arial"/>
      <b val="1"/>
      <color rgb="00F14635"/>
      <sz val="10"/>
    </font>
    <font>
      <name val="Arial"/>
      <color rgb="00F14635"/>
      <sz val="10"/>
    </font>
    <font>
      <name val="Arial"/>
      <b val="1"/>
      <color rgb="006C7180"/>
      <sz val="9"/>
    </font>
    <font>
      <name val="Arial"/>
      <color rgb="006C7180"/>
      <sz val="9"/>
    </font>
  </fonts>
  <fills count="6">
    <fill>
      <patternFill/>
    </fill>
    <fill>
      <patternFill patternType="gray125"/>
    </fill>
    <fill>
      <patternFill patternType="solid">
        <fgColor rgb="001F2028"/>
      </patternFill>
    </fill>
    <fill>
      <patternFill patternType="solid">
        <fgColor rgb="00FFF7CC"/>
      </patternFill>
    </fill>
    <fill>
      <patternFill patternType="solid">
        <fgColor rgb="00F4F5F7"/>
      </patternFill>
    </fill>
    <fill>
      <patternFill patternType="solid">
        <fgColor rgb="006C7180"/>
      </patternFill>
    </fill>
  </fills>
  <borders count="2">
    <border>
      <left/>
      <right/>
      <top/>
      <bottom/>
      <diagonal/>
    </border>
    <border>
      <left style="thin">
        <color rgb="00D9DBE0"/>
      </left>
      <right style="thin">
        <color rgb="00D9DBE0"/>
      </right>
      <top style="thin">
        <color rgb="00D9DBE0"/>
      </top>
      <bottom style="thin">
        <color rgb="00D9DB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7" fillId="5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9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4" borderId="1" pivotButton="0" quotePrefix="0" xfId="0"/>
    <xf numFmtId="0" fontId="9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B3261E"/>
        <sz val="10"/>
      </font>
      <fill>
        <patternFill patternType="solid">
          <fgColor rgb="00FDE4E1"/>
        </patternFill>
      </fill>
    </dxf>
    <dxf>
      <font>
        <name val="Arial"/>
        <b val="1"/>
        <color rgb="001F7A45"/>
        <sz val="10"/>
      </font>
      <fill>
        <patternFill patternType="solid">
          <fgColor rgb="00E3F5E9"/>
        </patternFill>
      </fill>
    </dxf>
    <dxf>
      <font>
        <name val="Arial"/>
        <b val="1"/>
        <color rgb="008A6100"/>
        <sz val="10"/>
      </font>
      <fill>
        <patternFill patternType="solid">
          <fgColor rgb="00FFF0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0" customWidth="1" min="9" max="9"/>
  </cols>
  <sheetData>
    <row r="1">
      <c r="A1" s="1" t="inlineStr">
        <is>
          <t>Обзвон стоматологий Алматы</t>
        </is>
      </c>
    </row>
    <row r="2">
      <c r="A2" s="2" t="inlineStr">
        <is>
          <t>Заполнять только жёлтые клетки на листе «Обзвон». Остальное считается само.</t>
        </is>
      </c>
    </row>
    <row r="4" ht="16" customHeight="1">
      <c r="A4" s="3" t="inlineStr"/>
      <c r="B4" s="4" t="inlineStr">
        <is>
          <t>КОГДА ЗВОНИТЬ</t>
        </is>
      </c>
    </row>
    <row r="5" ht="28" customHeight="1">
      <c r="A5" s="5" t="inlineStr">
        <is>
          <t>Раб.</t>
        </is>
      </c>
      <c r="B5" s="6" t="inlineStr">
        <is>
          <t>Вторник или среда, около 11:00. Один звонок. Это точка отсчёта: без неё вечерние цифры не с чем сравнить.</t>
        </is>
      </c>
    </row>
    <row r="6" ht="16" customHeight="1">
      <c r="A6" s="5" t="inlineStr">
        <is>
          <t>Веч.1 / Веч.2</t>
        </is>
      </c>
      <c r="B6" s="6" t="inlineStr">
        <is>
          <t>Будний вечер: 20:30 и повтор в 20:40.</t>
        </is>
      </c>
    </row>
    <row r="7" ht="16" customHeight="1">
      <c r="A7" s="5" t="inlineStr">
        <is>
          <t>Сб.1 / Сб.2</t>
        </is>
      </c>
      <c r="B7" s="6" t="inlineStr">
        <is>
          <t>Суббота: 13:00 и повтор в 13:10.</t>
        </is>
      </c>
    </row>
    <row r="8" ht="16" customHeight="1">
      <c r="A8" s="5" t="inlineStr">
        <is>
          <t>Вс.1 / Вс.2</t>
        </is>
      </c>
      <c r="B8" s="6" t="inlineStr">
        <is>
          <t>Воскресенье: 12:00 и повтор в 12:10.</t>
        </is>
      </c>
    </row>
    <row r="9" ht="28" customHeight="1">
      <c r="A9" s="5" t="inlineStr"/>
      <c r="B9" s="6" t="inlineStr">
        <is>
          <t>Ждать шесть гудков. Повтор через десять минут обязателен — один неотвеченный звонок ничего не доказывает.</t>
        </is>
      </c>
    </row>
    <row r="10" ht="28" customHeight="1">
      <c r="A10" s="5" t="inlineStr"/>
      <c r="B10" s="6" t="inlineStr">
        <is>
          <t>Порядок: сначала приоритет A, потом B. Группа C — если останется время, у них вечернего окна почти нет.</t>
        </is>
      </c>
    </row>
    <row r="12" ht="16" customHeight="1">
      <c r="A12" s="3" t="inlineStr"/>
      <c r="B12" s="4" t="inlineStr">
        <is>
          <t>КОДЫ</t>
        </is>
      </c>
    </row>
    <row r="13" ht="16" customHeight="1">
      <c r="A13" s="5" t="inlineStr">
        <is>
          <t>Ч</t>
        </is>
      </c>
      <c r="B13" s="6" t="inlineStr">
        <is>
          <t>ответил живой человек</t>
        </is>
      </c>
    </row>
    <row r="14" ht="16" customHeight="1">
      <c r="A14" s="5" t="inlineStr">
        <is>
          <t>А</t>
        </is>
      </c>
      <c r="B14" s="6" t="inlineStr">
        <is>
          <t>автоответчик или голосовое сообщение</t>
        </is>
      </c>
    </row>
    <row r="15" ht="16" customHeight="1">
      <c r="A15" s="5" t="inlineStr">
        <is>
          <t>Г</t>
        </is>
      </c>
      <c r="B15" s="6" t="inlineStr">
        <is>
          <t>гудки, никто не взял трубку</t>
        </is>
      </c>
    </row>
    <row r="16" ht="16" customHeight="1">
      <c r="A16" s="5" t="inlineStr">
        <is>
          <t>З</t>
        </is>
      </c>
      <c r="B16" s="6" t="inlineStr">
        <is>
          <t>занято</t>
        </is>
      </c>
    </row>
    <row r="17" ht="16" customHeight="1">
      <c r="A17" s="5" t="inlineStr">
        <is>
          <t>Н</t>
        </is>
      </c>
      <c r="B17" s="6" t="inlineStr">
        <is>
          <t>номер недоступен или не существует</t>
        </is>
      </c>
    </row>
    <row r="18" ht="16" customHeight="1">
      <c r="A18" s="5" t="inlineStr">
        <is>
          <t>С</t>
        </is>
      </c>
      <c r="B18" s="6" t="inlineStr">
        <is>
          <t>сбросили звонок</t>
        </is>
      </c>
    </row>
    <row r="19" ht="16" customHeight="1">
      <c r="A19" s="5" t="inlineStr"/>
      <c r="B19" s="6" t="inlineStr">
        <is>
          <t>Клетка подсвечивается сама: зелёным если ответили, красным если гудки.</t>
        </is>
      </c>
    </row>
    <row r="21" ht="16" customHeight="1">
      <c r="A21" s="3" t="inlineStr"/>
      <c r="B21" s="4" t="inlineStr">
        <is>
          <t>ПРИМЕР ЗАПОЛНЕНИЯ</t>
        </is>
      </c>
    </row>
    <row r="22">
      <c r="A22" s="7" t="inlineStr">
        <is>
          <t>Клиника</t>
        </is>
      </c>
      <c r="B22" s="7" t="inlineStr">
        <is>
          <t>Раб.</t>
        </is>
      </c>
      <c r="C22" s="7" t="inlineStr">
        <is>
          <t>Веч.1</t>
        </is>
      </c>
      <c r="D22" s="7" t="inlineStr">
        <is>
          <t>Веч.2</t>
        </is>
      </c>
      <c r="E22" s="7" t="inlineStr">
        <is>
          <t>Сб.1</t>
        </is>
      </c>
      <c r="F22" s="7" t="inlineStr">
        <is>
          <t>Сб.2</t>
        </is>
      </c>
      <c r="G22" s="7" t="inlineStr">
        <is>
          <t>Вс.1</t>
        </is>
      </c>
      <c r="H22" s="7" t="inlineStr">
        <is>
          <t>Вс.2</t>
        </is>
      </c>
      <c r="I22" s="7" t="inlineStr">
        <is>
          <t>Заметки</t>
        </is>
      </c>
    </row>
    <row r="23" ht="46" customHeight="1">
      <c r="A23" s="8" t="inlineStr">
        <is>
          <t>Ажар Дент</t>
        </is>
      </c>
      <c r="B23" s="9" t="inlineStr">
        <is>
          <t>Ч</t>
        </is>
      </c>
      <c r="C23" s="9" t="inlineStr">
        <is>
          <t>Г</t>
        </is>
      </c>
      <c r="D23" s="9" t="inlineStr">
        <is>
          <t>Г</t>
        </is>
      </c>
      <c r="E23" s="9" t="inlineStr">
        <is>
          <t>Г</t>
        </is>
      </c>
      <c r="F23" s="9" t="inlineStr">
        <is>
          <t>А</t>
        </is>
      </c>
      <c r="G23" s="9" t="inlineStr">
        <is>
          <t>Г</t>
        </is>
      </c>
      <c r="H23" s="9" t="inlineStr">
        <is>
          <t>Г</t>
        </is>
      </c>
      <c r="I23" s="8" t="inlineStr">
        <is>
          <t>Днём ответил администратор. Сказала, что вечером никого нет. Автоответчик в субботу: «клиника работает с 9 до 19». Перезвонили в пн 09:14.</t>
        </is>
      </c>
    </row>
    <row r="26" ht="16" customHeight="1">
      <c r="A26" s="3" t="inlineStr"/>
      <c r="B26" s="4" t="inlineStr">
        <is>
          <t>ЕСЛИ СНЯЛИ ТРУБКУ</t>
        </is>
      </c>
    </row>
    <row r="27" ht="28" customHeight="1">
      <c r="A27" s="5" t="inlineStr"/>
      <c r="B27" s="6" t="inlineStr">
        <is>
          <t>Представиться и сказать правду, без легенд: «Здравствуйте. Я провожу небольшое исследование по клиникам Алматы, буквально два вопроса, если у вас есть полминуты».</t>
        </is>
      </c>
    </row>
    <row r="28" ht="16" customHeight="1">
      <c r="A28" s="5" t="inlineStr">
        <is>
          <t>1.</t>
        </is>
      </c>
      <c r="B28" s="6" t="inlineStr">
        <is>
          <t>У вас можно записаться по телефону вечером, после закрытия?</t>
        </is>
      </c>
    </row>
    <row r="29" ht="16" customHeight="1">
      <c r="A29" s="5" t="inlineStr">
        <is>
          <t>2.</t>
        </is>
      </c>
      <c r="B29" s="6" t="inlineStr">
        <is>
          <t>Кто отвечает на звонки в выходные — администратор или кто-то дежурит?</t>
        </is>
      </c>
    </row>
    <row r="30" ht="28" customHeight="1">
      <c r="A30" s="5" t="inlineStr">
        <is>
          <t>3.</t>
        </is>
      </c>
      <c r="B30" s="6" t="inlineStr">
        <is>
          <t>Сколько примерно записавшихся до вас не доходит? — самый ценный вопрос, ответ записывать целиком и своими словами.</t>
        </is>
      </c>
    </row>
    <row r="32" ht="16" customHeight="1">
      <c r="A32" s="10" t="inlineStr"/>
      <c r="B32" s="11" t="inlineStr">
        <is>
          <t>ЧЕГО ДЕЛАТЬ НЕЛЬЗЯ</t>
        </is>
      </c>
    </row>
    <row r="33" ht="16" customHeight="1">
      <c r="A33" s="12" t="inlineStr"/>
      <c r="B33" s="13" t="inlineStr">
        <is>
          <t>Не притворяться пациентом. Ни при каких условиях.</t>
        </is>
      </c>
    </row>
    <row r="34" ht="16" customHeight="1">
      <c r="A34" s="12" t="inlineStr"/>
      <c r="B34" s="13" t="inlineStr">
        <is>
          <t>Не молчать в трубку. Ответили — сразу говорим.</t>
        </is>
      </c>
    </row>
    <row r="35" ht="16" customHeight="1">
      <c r="A35" s="12" t="inlineStr"/>
      <c r="B35" s="13" t="inlineStr">
        <is>
          <t>Ничего не предлагать и не продавать. Сейчас мы только считаем.</t>
        </is>
      </c>
    </row>
    <row r="36" ht="16" customHeight="1">
      <c r="A36" s="12" t="inlineStr"/>
      <c r="B36" s="13" t="inlineStr">
        <is>
          <t>Не спорить и не уговаривать. Отказались — спасибо, до свидания.</t>
        </is>
      </c>
    </row>
    <row r="38" ht="28" customHeight="1">
      <c r="A38" s="5" t="inlineStr"/>
      <c r="B38" s="6" t="inlineStr">
        <is>
          <t>Звонить с одного номера все дни, и с того, на который готовы ответить утром. Часть клиник перезвонит на пропущенный — записывайте дату и время в колонку «Перезвонили».</t>
        </is>
      </c>
    </row>
    <row r="40" ht="28" customHeight="1">
      <c r="A40" s="14" t="inlineStr"/>
      <c r="B40" s="15" t="inlineStr">
        <is>
          <t>Телефоны, часы и районы взяты из 2ГИС 22 августа 2026 года. Если клиника называет другой график — впишите в заметки.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9" customWidth="1" min="3" max="3"/>
    <col width="17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15" customWidth="1" min="16" max="16"/>
    <col width="52" customWidth="1" min="17" max="17"/>
  </cols>
  <sheetData>
    <row r="1" ht="30" customHeight="1">
      <c r="A1" s="16" t="inlineStr">
        <is>
          <t>№</t>
        </is>
      </c>
      <c r="B1" s="16" t="inlineStr">
        <is>
          <t>Клиника</t>
        </is>
      </c>
      <c r="C1" s="16" t="inlineStr">
        <is>
          <t>Телефон</t>
        </is>
      </c>
      <c r="D1" s="16" t="inlineStr">
        <is>
          <t>Район</t>
        </is>
      </c>
      <c r="E1" s="16" t="inlineStr">
        <is>
          <t>Часы по 2ГИС</t>
        </is>
      </c>
      <c r="F1" s="16" t="inlineStr">
        <is>
          <t>Приор.</t>
        </is>
      </c>
      <c r="G1" s="16" t="inlineStr">
        <is>
          <t>Раб.</t>
        </is>
      </c>
      <c r="H1" s="16" t="inlineStr">
        <is>
          <t>Веч.1</t>
        </is>
      </c>
      <c r="I1" s="16" t="inlineStr">
        <is>
          <t>Веч.2</t>
        </is>
      </c>
      <c r="J1" s="16" t="inlineStr">
        <is>
          <t>Сб.1</t>
        </is>
      </c>
      <c r="K1" s="16" t="inlineStr">
        <is>
          <t>Сб.2</t>
        </is>
      </c>
      <c r="L1" s="16" t="inlineStr">
        <is>
          <t>Вс.1</t>
        </is>
      </c>
      <c r="M1" s="16" t="inlineStr">
        <is>
          <t>Вс.2</t>
        </is>
      </c>
      <c r="N1" s="16" t="inlineStr">
        <is>
          <t>Гудков</t>
        </is>
      </c>
      <c r="O1" s="16" t="inlineStr">
        <is>
          <t>Ответов</t>
        </is>
      </c>
      <c r="P1" s="16" t="inlineStr">
        <is>
          <t>Перезвонили</t>
        </is>
      </c>
      <c r="Q1" s="16" t="inlineStr">
        <is>
          <t>Заметки</t>
        </is>
      </c>
    </row>
    <row r="2" ht="26" customHeight="1">
      <c r="A2" s="17" t="n">
        <v>1</v>
      </c>
      <c r="B2" s="18" t="inlineStr">
        <is>
          <t>Ажар Дент</t>
        </is>
      </c>
      <c r="C2" s="19" t="inlineStr">
        <is>
          <t>+7 705 222 99 22</t>
        </is>
      </c>
      <c r="D2" s="20" t="inlineStr">
        <is>
          <t>Жетысуский</t>
        </is>
      </c>
      <c r="E2" s="20" t="inlineStr">
        <is>
          <t>09:00-19:00</t>
        </is>
      </c>
      <c r="F2" s="21" t="inlineStr">
        <is>
          <t>A</t>
        </is>
      </c>
      <c r="G2" s="22" t="n"/>
      <c r="H2" s="22" t="n"/>
      <c r="I2" s="22" t="n"/>
      <c r="J2" s="22" t="n"/>
      <c r="K2" s="22" t="n"/>
      <c r="L2" s="22" t="n"/>
      <c r="M2" s="22" t="n"/>
      <c r="N2" s="23">
        <f>COUNTIF(H2:M2,"Г")</f>
        <v/>
      </c>
      <c r="O2" s="23">
        <f>COUNTIF(H2:M2,"Ч")</f>
        <v/>
      </c>
      <c r="P2" s="24" t="n"/>
      <c r="Q2" s="25" t="n"/>
    </row>
    <row r="3" ht="26" customHeight="1">
      <c r="A3" s="17" t="n">
        <v>2</v>
      </c>
      <c r="B3" s="18" t="inlineStr">
        <is>
          <t>Empire dental clinic</t>
        </is>
      </c>
      <c r="C3" s="19" t="inlineStr">
        <is>
          <t>+7 778 114 76 94</t>
        </is>
      </c>
      <c r="D3" s="20" t="inlineStr">
        <is>
          <t>Бостандыкский</t>
        </is>
      </c>
      <c r="E3" s="20" t="inlineStr">
        <is>
          <t>10:00-20:00</t>
        </is>
      </c>
      <c r="F3" s="21" t="inlineStr">
        <is>
          <t>A</t>
        </is>
      </c>
      <c r="G3" s="22" t="n"/>
      <c r="H3" s="22" t="n"/>
      <c r="I3" s="22" t="n"/>
      <c r="J3" s="22" t="n"/>
      <c r="K3" s="22" t="n"/>
      <c r="L3" s="22" t="n"/>
      <c r="M3" s="22" t="n"/>
      <c r="N3" s="23">
        <f>COUNTIF(H3:M3,"Г")</f>
        <v/>
      </c>
      <c r="O3" s="23">
        <f>COUNTIF(H3:M3,"Ч")</f>
        <v/>
      </c>
      <c r="P3" s="24" t="n"/>
      <c r="Q3" s="25" t="n"/>
    </row>
    <row r="4" ht="26" customHeight="1">
      <c r="A4" s="17" t="n">
        <v>3</v>
      </c>
      <c r="B4" s="18" t="inlineStr">
        <is>
          <t>AylinDent</t>
        </is>
      </c>
      <c r="C4" s="19" t="inlineStr">
        <is>
          <t>+7 707 963 30 44</t>
        </is>
      </c>
      <c r="D4" s="20" t="inlineStr">
        <is>
          <t>Ауэзовский</t>
        </is>
      </c>
      <c r="E4" s="20" t="inlineStr">
        <is>
          <t>09:00-21:00 ежедневно</t>
        </is>
      </c>
      <c r="F4" s="21" t="inlineStr">
        <is>
          <t>A</t>
        </is>
      </c>
      <c r="G4" s="22" t="n"/>
      <c r="H4" s="22" t="n"/>
      <c r="I4" s="22" t="n"/>
      <c r="J4" s="22" t="n"/>
      <c r="K4" s="22" t="n"/>
      <c r="L4" s="22" t="n"/>
      <c r="M4" s="22" t="n"/>
      <c r="N4" s="23">
        <f>COUNTIF(H4:M4,"Г")</f>
        <v/>
      </c>
      <c r="O4" s="23">
        <f>COUNTIF(H4:M4,"Ч")</f>
        <v/>
      </c>
      <c r="P4" s="24" t="n"/>
      <c r="Q4" s="25" t="n"/>
    </row>
    <row r="5" ht="26" customHeight="1">
      <c r="A5" s="17" t="n">
        <v>4</v>
      </c>
      <c r="B5" s="18" t="inlineStr">
        <is>
          <t>Light Dental Clinic</t>
        </is>
      </c>
      <c r="C5" s="19" t="inlineStr">
        <is>
          <t>+7 705 333 19 99</t>
        </is>
      </c>
      <c r="D5" s="20" t="inlineStr">
        <is>
          <t>Ауэзовский</t>
        </is>
      </c>
      <c r="E5" s="20" t="inlineStr">
        <is>
          <t>09:00-21:00</t>
        </is>
      </c>
      <c r="F5" s="21" t="inlineStr">
        <is>
          <t>A</t>
        </is>
      </c>
      <c r="G5" s="22" t="n"/>
      <c r="H5" s="22" t="n"/>
      <c r="I5" s="22" t="n"/>
      <c r="J5" s="22" t="n"/>
      <c r="K5" s="22" t="n"/>
      <c r="L5" s="22" t="n"/>
      <c r="M5" s="22" t="n"/>
      <c r="N5" s="23">
        <f>COUNTIF(H5:M5,"Г")</f>
        <v/>
      </c>
      <c r="O5" s="23">
        <f>COUNTIF(H5:M5,"Ч")</f>
        <v/>
      </c>
      <c r="P5" s="24" t="n"/>
      <c r="Q5" s="25" t="n"/>
    </row>
    <row r="6" ht="26" customHeight="1">
      <c r="A6" s="17" t="n">
        <v>5</v>
      </c>
      <c r="B6" s="18" t="inlineStr">
        <is>
          <t>Kids Stom</t>
        </is>
      </c>
      <c r="C6" s="19" t="inlineStr">
        <is>
          <t>+7 707 220 80 00</t>
        </is>
      </c>
      <c r="D6" s="20" t="inlineStr">
        <is>
          <t>Бостандыкский</t>
        </is>
      </c>
      <c r="E6" s="20" t="inlineStr">
        <is>
          <t>09:00-21:00 ежедневно</t>
        </is>
      </c>
      <c r="F6" s="21" t="inlineStr">
        <is>
          <t>A</t>
        </is>
      </c>
      <c r="G6" s="22" t="n"/>
      <c r="H6" s="22" t="n"/>
      <c r="I6" s="22" t="n"/>
      <c r="J6" s="22" t="n"/>
      <c r="K6" s="22" t="n"/>
      <c r="L6" s="22" t="n"/>
      <c r="M6" s="22" t="n"/>
      <c r="N6" s="23">
        <f>COUNTIF(H6:M6,"Г")</f>
        <v/>
      </c>
      <c r="O6" s="23">
        <f>COUNTIF(H6:M6,"Ч")</f>
        <v/>
      </c>
      <c r="P6" s="24" t="n"/>
      <c r="Q6" s="25" t="n"/>
    </row>
    <row r="7" ht="26" customHeight="1">
      <c r="A7" s="17" t="n">
        <v>6</v>
      </c>
      <c r="B7" s="18" t="inlineStr">
        <is>
          <t>Sara clinic</t>
        </is>
      </c>
      <c r="C7" s="19" t="inlineStr">
        <is>
          <t>+7 707 675 70 00</t>
        </is>
      </c>
      <c r="D7" s="20" t="inlineStr">
        <is>
          <t>Ауэзовский</t>
        </is>
      </c>
      <c r="E7" s="20" t="inlineStr">
        <is>
          <t>09:00-21:00 ежедневно</t>
        </is>
      </c>
      <c r="F7" s="21" t="inlineStr">
        <is>
          <t>A</t>
        </is>
      </c>
      <c r="G7" s="22" t="n"/>
      <c r="H7" s="22" t="n"/>
      <c r="I7" s="22" t="n"/>
      <c r="J7" s="22" t="n"/>
      <c r="K7" s="22" t="n"/>
      <c r="L7" s="22" t="n"/>
      <c r="M7" s="22" t="n"/>
      <c r="N7" s="23">
        <f>COUNTIF(H7:M7,"Г")</f>
        <v/>
      </c>
      <c r="O7" s="23">
        <f>COUNTIF(H7:M7,"Ч")</f>
        <v/>
      </c>
      <c r="P7" s="24" t="n"/>
      <c r="Q7" s="25" t="n"/>
    </row>
    <row r="8" ht="26" customHeight="1">
      <c r="A8" s="17" t="n">
        <v>7</v>
      </c>
      <c r="B8" s="18" t="inlineStr">
        <is>
          <t>DS Stomatology</t>
        </is>
      </c>
      <c r="C8" s="19" t="inlineStr">
        <is>
          <t>+7 771 267 61 27</t>
        </is>
      </c>
      <c r="D8" s="20" t="inlineStr">
        <is>
          <t>Талгарский</t>
        </is>
      </c>
      <c r="E8" s="20" t="inlineStr">
        <is>
          <t>09:00-21:00 ежедневно</t>
        </is>
      </c>
      <c r="F8" s="21" t="inlineStr">
        <is>
          <t>A</t>
        </is>
      </c>
      <c r="G8" s="22" t="n"/>
      <c r="H8" s="22" t="n"/>
      <c r="I8" s="22" t="n"/>
      <c r="J8" s="22" t="n"/>
      <c r="K8" s="22" t="n"/>
      <c r="L8" s="22" t="n"/>
      <c r="M8" s="22" t="n"/>
      <c r="N8" s="23">
        <f>COUNTIF(H8:M8,"Г")</f>
        <v/>
      </c>
      <c r="O8" s="23">
        <f>COUNTIF(H8:M8,"Ч")</f>
        <v/>
      </c>
      <c r="P8" s="24" t="n"/>
      <c r="Q8" s="25" t="n"/>
    </row>
    <row r="9" ht="26" customHeight="1">
      <c r="A9" s="17" t="n">
        <v>8</v>
      </c>
      <c r="B9" s="18" t="inlineStr">
        <is>
          <t>Ever Smile</t>
        </is>
      </c>
      <c r="C9" s="19" t="inlineStr">
        <is>
          <t>+7 747 900 30 09</t>
        </is>
      </c>
      <c r="D9" s="20" t="inlineStr">
        <is>
          <t>Алмалинский</t>
        </is>
      </c>
      <c r="E9" s="20" t="inlineStr">
        <is>
          <t>10:00-22:00 обед 12:00-14:30</t>
        </is>
      </c>
      <c r="F9" s="21" t="inlineStr">
        <is>
          <t>A</t>
        </is>
      </c>
      <c r="G9" s="22" t="n"/>
      <c r="H9" s="22" t="n"/>
      <c r="I9" s="22" t="n"/>
      <c r="J9" s="22" t="n"/>
      <c r="K9" s="22" t="n"/>
      <c r="L9" s="22" t="n"/>
      <c r="M9" s="22" t="n"/>
      <c r="N9" s="23">
        <f>COUNTIF(H9:M9,"Г")</f>
        <v/>
      </c>
      <c r="O9" s="23">
        <f>COUNTIF(H9:M9,"Ч")</f>
        <v/>
      </c>
      <c r="P9" s="24" t="n"/>
      <c r="Q9" s="25" t="n"/>
    </row>
    <row r="10" ht="26" customHeight="1">
      <c r="A10" s="17" t="n">
        <v>9</v>
      </c>
      <c r="B10" s="18" t="inlineStr">
        <is>
          <t>Top Smile</t>
        </is>
      </c>
      <c r="C10" s="19" t="inlineStr">
        <is>
          <t>+7 747 085 70 71</t>
        </is>
      </c>
      <c r="D10" s="20" t="inlineStr">
        <is>
          <t>Бостандыкский</t>
        </is>
      </c>
      <c r="E10" s="20" t="inlineStr">
        <is>
          <t>10:00-22:00 ежедневно по записи</t>
        </is>
      </c>
      <c r="F10" s="21" t="inlineStr">
        <is>
          <t>A</t>
        </is>
      </c>
      <c r="G10" s="22" t="n"/>
      <c r="H10" s="22" t="n"/>
      <c r="I10" s="22" t="n"/>
      <c r="J10" s="22" t="n"/>
      <c r="K10" s="22" t="n"/>
      <c r="L10" s="22" t="n"/>
      <c r="M10" s="22" t="n"/>
      <c r="N10" s="23">
        <f>COUNTIF(H10:M10,"Г")</f>
        <v/>
      </c>
      <c r="O10" s="23">
        <f>COUNTIF(H10:M10,"Ч")</f>
        <v/>
      </c>
      <c r="P10" s="24" t="n"/>
      <c r="Q10" s="25" t="n"/>
    </row>
    <row r="11" ht="26" customHeight="1">
      <c r="A11" s="17" t="n">
        <v>10</v>
      </c>
      <c r="B11" s="18" t="inlineStr">
        <is>
          <t>Dobro Dent</t>
        </is>
      </c>
      <c r="C11" s="19" t="inlineStr">
        <is>
          <t>+7 775 030 09 99</t>
        </is>
      </c>
      <c r="D11" s="20" t="inlineStr">
        <is>
          <t>Бостандыкский</t>
        </is>
      </c>
      <c r="E11" s="20" t="inlineStr">
        <is>
          <t>09:00-22:00 ежедневно</t>
        </is>
      </c>
      <c r="F11" s="21" t="inlineStr">
        <is>
          <t>A</t>
        </is>
      </c>
      <c r="G11" s="22" t="n"/>
      <c r="H11" s="22" t="n"/>
      <c r="I11" s="22" t="n"/>
      <c r="J11" s="22" t="n"/>
      <c r="K11" s="22" t="n"/>
      <c r="L11" s="22" t="n"/>
      <c r="M11" s="22" t="n"/>
      <c r="N11" s="23">
        <f>COUNTIF(H11:M11,"Г")</f>
        <v/>
      </c>
      <c r="O11" s="23">
        <f>COUNTIF(H11:M11,"Ч")</f>
        <v/>
      </c>
      <c r="P11" s="24" t="n"/>
      <c r="Q11" s="25" t="n"/>
    </row>
    <row r="12" ht="26" customHeight="1">
      <c r="A12" s="17" t="n">
        <v>11</v>
      </c>
      <c r="B12" s="18" t="inlineStr">
        <is>
          <t>Doctor Dent</t>
        </is>
      </c>
      <c r="C12" s="19" t="inlineStr">
        <is>
          <t>+7 705 170 78 59</t>
        </is>
      </c>
      <c r="D12" s="20" t="inlineStr">
        <is>
          <t>Бостандыкский</t>
        </is>
      </c>
      <c r="E12" s="20" t="inlineStr">
        <is>
          <t>не указаны</t>
        </is>
      </c>
      <c r="F12" s="17" t="inlineStr">
        <is>
          <t>B</t>
        </is>
      </c>
      <c r="G12" s="22" t="n"/>
      <c r="H12" s="22" t="n"/>
      <c r="I12" s="22" t="n"/>
      <c r="J12" s="22" t="n"/>
      <c r="K12" s="22" t="n"/>
      <c r="L12" s="22" t="n"/>
      <c r="M12" s="22" t="n"/>
      <c r="N12" s="23">
        <f>COUNTIF(H12:M12,"Г")</f>
        <v/>
      </c>
      <c r="O12" s="23">
        <f>COUNTIF(H12:M12,"Ч")</f>
        <v/>
      </c>
      <c r="P12" s="24" t="n"/>
      <c r="Q12" s="25" t="n"/>
    </row>
    <row r="13" ht="26" customHeight="1">
      <c r="A13" s="17" t="n">
        <v>12</v>
      </c>
      <c r="B13" s="18" t="inlineStr">
        <is>
          <t>Dr. Baratov</t>
        </is>
      </c>
      <c r="C13" s="19" t="inlineStr">
        <is>
          <t>+7 707 189 36 45</t>
        </is>
      </c>
      <c r="D13" s="20" t="inlineStr">
        <is>
          <t>Алмалинский</t>
        </is>
      </c>
      <c r="E13" s="20" t="inlineStr">
        <is>
          <t>не указаны</t>
        </is>
      </c>
      <c r="F13" s="17" t="inlineStr">
        <is>
          <t>B</t>
        </is>
      </c>
      <c r="G13" s="22" t="n"/>
      <c r="H13" s="22" t="n"/>
      <c r="I13" s="22" t="n"/>
      <c r="J13" s="22" t="n"/>
      <c r="K13" s="22" t="n"/>
      <c r="L13" s="22" t="n"/>
      <c r="M13" s="22" t="n"/>
      <c r="N13" s="23">
        <f>COUNTIF(H13:M13,"Г")</f>
        <v/>
      </c>
      <c r="O13" s="23">
        <f>COUNTIF(H13:M13,"Ч")</f>
        <v/>
      </c>
      <c r="P13" s="24" t="n"/>
      <c r="Q13" s="25" t="n"/>
    </row>
    <row r="14" ht="26" customHeight="1">
      <c r="A14" s="17" t="n">
        <v>13</v>
      </c>
      <c r="B14" s="18" t="inlineStr">
        <is>
          <t>Dr. Park</t>
        </is>
      </c>
      <c r="C14" s="19" t="inlineStr">
        <is>
          <t>+7 707 909 78 76</t>
        </is>
      </c>
      <c r="D14" s="20" t="inlineStr">
        <is>
          <t>Бостандыкский</t>
        </is>
      </c>
      <c r="E14" s="20" t="inlineStr">
        <is>
          <t>открывается в 09:00</t>
        </is>
      </c>
      <c r="F14" s="17" t="inlineStr">
        <is>
          <t>B</t>
        </is>
      </c>
      <c r="G14" s="22" t="n"/>
      <c r="H14" s="22" t="n"/>
      <c r="I14" s="22" t="n"/>
      <c r="J14" s="22" t="n"/>
      <c r="K14" s="22" t="n"/>
      <c r="L14" s="22" t="n"/>
      <c r="M14" s="22" t="n"/>
      <c r="N14" s="23">
        <f>COUNTIF(H14:M14,"Г")</f>
        <v/>
      </c>
      <c r="O14" s="23">
        <f>COUNTIF(H14:M14,"Ч")</f>
        <v/>
      </c>
      <c r="P14" s="24" t="n"/>
      <c r="Q14" s="25" t="n"/>
    </row>
    <row r="15" ht="26" customHeight="1">
      <c r="A15" s="17" t="n">
        <v>14</v>
      </c>
      <c r="B15" s="18" t="inlineStr">
        <is>
          <t>Никамед</t>
        </is>
      </c>
      <c r="C15" s="19" t="inlineStr">
        <is>
          <t>+7 727 973 55 53</t>
        </is>
      </c>
      <c r="D15" s="20" t="inlineStr">
        <is>
          <t>Бостандыкский</t>
        </is>
      </c>
      <c r="E15" s="20" t="inlineStr">
        <is>
          <t>открывается в 08:00</t>
        </is>
      </c>
      <c r="F15" s="17" t="inlineStr">
        <is>
          <t>B</t>
        </is>
      </c>
      <c r="G15" s="22" t="n"/>
      <c r="H15" s="22" t="n"/>
      <c r="I15" s="22" t="n"/>
      <c r="J15" s="22" t="n"/>
      <c r="K15" s="22" t="n"/>
      <c r="L15" s="22" t="n"/>
      <c r="M15" s="22" t="n"/>
      <c r="N15" s="23">
        <f>COUNTIF(H15:M15,"Г")</f>
        <v/>
      </c>
      <c r="O15" s="23">
        <f>COUNTIF(H15:M15,"Ч")</f>
        <v/>
      </c>
      <c r="P15" s="24" t="n"/>
      <c r="Q15" s="25" t="n"/>
    </row>
    <row r="16" ht="26" customHeight="1">
      <c r="A16" s="17" t="n">
        <v>15</v>
      </c>
      <c r="B16" s="18" t="inlineStr">
        <is>
          <t>Diamond Dent</t>
        </is>
      </c>
      <c r="C16" s="19" t="inlineStr">
        <is>
          <t>+7 771 275 39 49</t>
        </is>
      </c>
      <c r="D16" s="20" t="inlineStr">
        <is>
          <t>Ауэзовский</t>
        </is>
      </c>
      <c r="E16" s="20" t="inlineStr">
        <is>
          <t>открывается в 09:00</t>
        </is>
      </c>
      <c r="F16" s="17" t="inlineStr">
        <is>
          <t>B</t>
        </is>
      </c>
      <c r="G16" s="22" t="n"/>
      <c r="H16" s="22" t="n"/>
      <c r="I16" s="22" t="n"/>
      <c r="J16" s="22" t="n"/>
      <c r="K16" s="22" t="n"/>
      <c r="L16" s="22" t="n"/>
      <c r="M16" s="22" t="n"/>
      <c r="N16" s="23">
        <f>COUNTIF(H16:M16,"Г")</f>
        <v/>
      </c>
      <c r="O16" s="23">
        <f>COUNTIF(H16:M16,"Ч")</f>
        <v/>
      </c>
      <c r="P16" s="24" t="n"/>
      <c r="Q16" s="25" t="n"/>
    </row>
    <row r="17" ht="26" customHeight="1">
      <c r="A17" s="17" t="n">
        <v>16</v>
      </c>
      <c r="B17" s="18" t="inlineStr">
        <is>
          <t>Mirai Dental Clinic</t>
        </is>
      </c>
      <c r="C17" s="19" t="inlineStr">
        <is>
          <t>+7 700 302 22 30</t>
        </is>
      </c>
      <c r="D17" s="20" t="inlineStr">
        <is>
          <t>Бостандыкский</t>
        </is>
      </c>
      <c r="E17" s="20" t="inlineStr">
        <is>
          <t>не указаны</t>
        </is>
      </c>
      <c r="F17" s="17" t="inlineStr">
        <is>
          <t>B</t>
        </is>
      </c>
      <c r="G17" s="22" t="n"/>
      <c r="H17" s="22" t="n"/>
      <c r="I17" s="22" t="n"/>
      <c r="J17" s="22" t="n"/>
      <c r="K17" s="22" t="n"/>
      <c r="L17" s="22" t="n"/>
      <c r="M17" s="22" t="n"/>
      <c r="N17" s="23">
        <f>COUNTIF(H17:M17,"Г")</f>
        <v/>
      </c>
      <c r="O17" s="23">
        <f>COUNTIF(H17:M17,"Ч")</f>
        <v/>
      </c>
      <c r="P17" s="24" t="n"/>
      <c r="Q17" s="25" t="n"/>
    </row>
    <row r="18" ht="26" customHeight="1">
      <c r="A18" s="17" t="n">
        <v>17</v>
      </c>
      <c r="B18" s="18" t="inlineStr">
        <is>
          <t>Senim Dental Clinic</t>
        </is>
      </c>
      <c r="C18" s="19" t="inlineStr">
        <is>
          <t>+7 701 408 84 44</t>
        </is>
      </c>
      <c r="D18" s="20" t="inlineStr">
        <is>
          <t>Бостандыкский</t>
        </is>
      </c>
      <c r="E18" s="20" t="inlineStr">
        <is>
          <t>не указаны</t>
        </is>
      </c>
      <c r="F18" s="17" t="inlineStr">
        <is>
          <t>B</t>
        </is>
      </c>
      <c r="G18" s="22" t="n"/>
      <c r="H18" s="22" t="n"/>
      <c r="I18" s="22" t="n"/>
      <c r="J18" s="22" t="n"/>
      <c r="K18" s="22" t="n"/>
      <c r="L18" s="22" t="n"/>
      <c r="M18" s="22" t="n"/>
      <c r="N18" s="23">
        <f>COUNTIF(H18:M18,"Г")</f>
        <v/>
      </c>
      <c r="O18" s="23">
        <f>COUNTIF(H18:M18,"Ч")</f>
        <v/>
      </c>
      <c r="P18" s="24" t="n"/>
      <c r="Q18" s="25" t="n"/>
    </row>
    <row r="19" ht="26" customHeight="1">
      <c r="A19" s="17" t="n">
        <v>18</v>
      </c>
      <c r="B19" s="18" t="inlineStr">
        <is>
          <t>Клиника доктора Мирзоева</t>
        </is>
      </c>
      <c r="C19" s="19" t="inlineStr">
        <is>
          <t>+7 701 758 55 21</t>
        </is>
      </c>
      <c r="D19" s="20" t="inlineStr">
        <is>
          <t>Алмалинский</t>
        </is>
      </c>
      <c r="E19" s="20" t="inlineStr">
        <is>
          <t>открывается в 10:00 по записи</t>
        </is>
      </c>
      <c r="F19" s="17" t="inlineStr">
        <is>
          <t>B</t>
        </is>
      </c>
      <c r="G19" s="22" t="n"/>
      <c r="H19" s="22" t="n"/>
      <c r="I19" s="22" t="n"/>
      <c r="J19" s="22" t="n"/>
      <c r="K19" s="22" t="n"/>
      <c r="L19" s="22" t="n"/>
      <c r="M19" s="22" t="n"/>
      <c r="N19" s="23">
        <f>COUNTIF(H19:M19,"Г")</f>
        <v/>
      </c>
      <c r="O19" s="23">
        <f>COUNTIF(H19:M19,"Ч")</f>
        <v/>
      </c>
      <c r="P19" s="24" t="n"/>
      <c r="Q19" s="25" t="n"/>
    </row>
    <row r="20" ht="26" customHeight="1">
      <c r="A20" s="17" t="n">
        <v>19</v>
      </c>
      <c r="B20" s="18" t="inlineStr">
        <is>
          <t>MC Dent</t>
        </is>
      </c>
      <c r="C20" s="19" t="inlineStr">
        <is>
          <t>+7 702 366 59 74</t>
        </is>
      </c>
      <c r="D20" s="20" t="inlineStr">
        <is>
          <t>Алмалинский</t>
        </is>
      </c>
      <c r="E20" s="20" t="inlineStr">
        <is>
          <t>не указаны</t>
        </is>
      </c>
      <c r="F20" s="17" t="inlineStr">
        <is>
          <t>B</t>
        </is>
      </c>
      <c r="G20" s="22" t="n"/>
      <c r="H20" s="22" t="n"/>
      <c r="I20" s="22" t="n"/>
      <c r="J20" s="22" t="n"/>
      <c r="K20" s="22" t="n"/>
      <c r="L20" s="22" t="n"/>
      <c r="M20" s="22" t="n"/>
      <c r="N20" s="23">
        <f>COUNTIF(H20:M20,"Г")</f>
        <v/>
      </c>
      <c r="O20" s="23">
        <f>COUNTIF(H20:M20,"Ч")</f>
        <v/>
      </c>
      <c r="P20" s="24" t="n"/>
      <c r="Q20" s="25" t="n"/>
    </row>
    <row r="21" ht="26" customHeight="1">
      <c r="A21" s="17" t="n">
        <v>20</v>
      </c>
      <c r="B21" s="18" t="inlineStr">
        <is>
          <t>Elit Stom (Манаса 19)</t>
        </is>
      </c>
      <c r="C21" s="19" t="inlineStr">
        <is>
          <t>+7 700 818 90 60</t>
        </is>
      </c>
      <c r="D21" s="20" t="inlineStr">
        <is>
          <t>Бостандыкский</t>
        </is>
      </c>
      <c r="E21" s="20" t="inlineStr">
        <is>
          <t>не указаны</t>
        </is>
      </c>
      <c r="F21" s="17" t="inlineStr">
        <is>
          <t>B</t>
        </is>
      </c>
      <c r="G21" s="22" t="n"/>
      <c r="H21" s="22" t="n"/>
      <c r="I21" s="22" t="n"/>
      <c r="J21" s="22" t="n"/>
      <c r="K21" s="22" t="n"/>
      <c r="L21" s="22" t="n"/>
      <c r="M21" s="22" t="n"/>
      <c r="N21" s="23">
        <f>COUNTIF(H21:M21,"Г")</f>
        <v/>
      </c>
      <c r="O21" s="23">
        <f>COUNTIF(H21:M21,"Ч")</f>
        <v/>
      </c>
      <c r="P21" s="24" t="n"/>
      <c r="Q21" s="25" t="n"/>
    </row>
    <row r="22" ht="26" customHeight="1">
      <c r="A22" s="17" t="n">
        <v>21</v>
      </c>
      <c r="B22" s="18" t="inlineStr">
        <is>
          <t>Family Dent Dr. Kapanov</t>
        </is>
      </c>
      <c r="C22" s="19" t="inlineStr">
        <is>
          <t>+7 771 645 53 96</t>
        </is>
      </c>
      <c r="D22" s="20" t="inlineStr">
        <is>
          <t>Ауэзовский</t>
        </is>
      </c>
      <c r="E22" s="20" t="inlineStr">
        <is>
          <t>не указаны</t>
        </is>
      </c>
      <c r="F22" s="17" t="inlineStr">
        <is>
          <t>B</t>
        </is>
      </c>
      <c r="G22" s="22" t="n"/>
      <c r="H22" s="22" t="n"/>
      <c r="I22" s="22" t="n"/>
      <c r="J22" s="22" t="n"/>
      <c r="K22" s="22" t="n"/>
      <c r="L22" s="22" t="n"/>
      <c r="M22" s="22" t="n"/>
      <c r="N22" s="23">
        <f>COUNTIF(H22:M22,"Г")</f>
        <v/>
      </c>
      <c r="O22" s="23">
        <f>COUNTIF(H22:M22,"Ч")</f>
        <v/>
      </c>
      <c r="P22" s="24" t="n"/>
      <c r="Q22" s="25" t="n"/>
    </row>
    <row r="23" ht="26" customHeight="1">
      <c r="A23" s="17" t="n">
        <v>22</v>
      </c>
      <c r="B23" s="18" t="inlineStr">
        <is>
          <t>Стоматология Аброра Исмаиловича</t>
        </is>
      </c>
      <c r="C23" s="19" t="inlineStr">
        <is>
          <t>+7 775 370 12 13</t>
        </is>
      </c>
      <c r="D23" s="20" t="inlineStr">
        <is>
          <t>Бостандыкский</t>
        </is>
      </c>
      <c r="E23" s="20" t="inlineStr">
        <is>
          <t>не указаны</t>
        </is>
      </c>
      <c r="F23" s="17" t="inlineStr">
        <is>
          <t>B</t>
        </is>
      </c>
      <c r="G23" s="22" t="n"/>
      <c r="H23" s="22" t="n"/>
      <c r="I23" s="22" t="n"/>
      <c r="J23" s="22" t="n"/>
      <c r="K23" s="22" t="n"/>
      <c r="L23" s="22" t="n"/>
      <c r="M23" s="22" t="n"/>
      <c r="N23" s="23">
        <f>COUNTIF(H23:M23,"Г")</f>
        <v/>
      </c>
      <c r="O23" s="23">
        <f>COUNTIF(H23:M23,"Ч")</f>
        <v/>
      </c>
      <c r="P23" s="24" t="n"/>
      <c r="Q23" s="25" t="n"/>
    </row>
    <row r="24" ht="26" customHeight="1">
      <c r="A24" s="17" t="n">
        <v>23</v>
      </c>
      <c r="B24" s="18" t="inlineStr">
        <is>
          <t>Smilex Dental Center</t>
        </is>
      </c>
      <c r="C24" s="19" t="inlineStr">
        <is>
          <t>+7 747 897 32 07</t>
        </is>
      </c>
      <c r="D24" s="20" t="inlineStr">
        <is>
          <t>Алмалинский</t>
        </is>
      </c>
      <c r="E24" s="20" t="inlineStr">
        <is>
          <t>открывается в 09:30</t>
        </is>
      </c>
      <c r="F24" s="17" t="inlineStr">
        <is>
          <t>B</t>
        </is>
      </c>
      <c r="G24" s="22" t="n"/>
      <c r="H24" s="22" t="n"/>
      <c r="I24" s="22" t="n"/>
      <c r="J24" s="22" t="n"/>
      <c r="K24" s="22" t="n"/>
      <c r="L24" s="22" t="n"/>
      <c r="M24" s="22" t="n"/>
      <c r="N24" s="23">
        <f>COUNTIF(H24:M24,"Г")</f>
        <v/>
      </c>
      <c r="O24" s="23">
        <f>COUNTIF(H24:M24,"Ч")</f>
        <v/>
      </c>
      <c r="P24" s="24" t="n"/>
      <c r="Q24" s="25" t="n"/>
    </row>
    <row r="25" ht="26" customHeight="1">
      <c r="A25" s="17" t="n">
        <v>24</v>
      </c>
      <c r="B25" s="18" t="inlineStr">
        <is>
          <t>Altyn Dent</t>
        </is>
      </c>
      <c r="C25" s="19" t="inlineStr">
        <is>
          <t>+7 747 920 75 71</t>
        </is>
      </c>
      <c r="D25" s="20" t="inlineStr">
        <is>
          <t>Алмалинский</t>
        </is>
      </c>
      <c r="E25" s="20" t="inlineStr">
        <is>
          <t>открывается в 09:00</t>
        </is>
      </c>
      <c r="F25" s="17" t="inlineStr">
        <is>
          <t>B</t>
        </is>
      </c>
      <c r="G25" s="22" t="n"/>
      <c r="H25" s="22" t="n"/>
      <c r="I25" s="22" t="n"/>
      <c r="J25" s="22" t="n"/>
      <c r="K25" s="22" t="n"/>
      <c r="L25" s="22" t="n"/>
      <c r="M25" s="22" t="n"/>
      <c r="N25" s="23">
        <f>COUNTIF(H25:M25,"Г")</f>
        <v/>
      </c>
      <c r="O25" s="23">
        <f>COUNTIF(H25:M25,"Ч")</f>
        <v/>
      </c>
      <c r="P25" s="24" t="n"/>
      <c r="Q25" s="25" t="n"/>
    </row>
    <row r="26" ht="26" customHeight="1">
      <c r="A26" s="17" t="n">
        <v>25</v>
      </c>
      <c r="B26" s="18" t="inlineStr">
        <is>
          <t>Azu Dental Clinic</t>
        </is>
      </c>
      <c r="C26" s="19" t="inlineStr">
        <is>
          <t>+7 708 002 22 02</t>
        </is>
      </c>
      <c r="D26" s="20" t="inlineStr">
        <is>
          <t>Бостандыкский</t>
        </is>
      </c>
      <c r="E26" s="20" t="inlineStr">
        <is>
          <t>не указаны</t>
        </is>
      </c>
      <c r="F26" s="17" t="inlineStr">
        <is>
          <t>B</t>
        </is>
      </c>
      <c r="G26" s="22" t="n"/>
      <c r="H26" s="22" t="n"/>
      <c r="I26" s="22" t="n"/>
      <c r="J26" s="22" t="n"/>
      <c r="K26" s="22" t="n"/>
      <c r="L26" s="22" t="n"/>
      <c r="M26" s="22" t="n"/>
      <c r="N26" s="23">
        <f>COUNTIF(H26:M26,"Г")</f>
        <v/>
      </c>
      <c r="O26" s="23">
        <f>COUNTIF(H26:M26,"Ч")</f>
        <v/>
      </c>
      <c r="P26" s="24" t="n"/>
      <c r="Q26" s="25" t="n"/>
    </row>
    <row r="27" ht="26" customHeight="1">
      <c r="A27" s="17" t="n">
        <v>26</v>
      </c>
      <c r="B27" s="18" t="inlineStr">
        <is>
          <t>Dental Planet</t>
        </is>
      </c>
      <c r="C27" s="19" t="inlineStr">
        <is>
          <t>+7 705 888 38 15</t>
        </is>
      </c>
      <c r="D27" s="20" t="inlineStr">
        <is>
          <t>Алмалинский</t>
        </is>
      </c>
      <c r="E27" s="20" t="inlineStr">
        <is>
          <t>открывается в 08:00</t>
        </is>
      </c>
      <c r="F27" s="17" t="inlineStr">
        <is>
          <t>B</t>
        </is>
      </c>
      <c r="G27" s="22" t="n"/>
      <c r="H27" s="22" t="n"/>
      <c r="I27" s="22" t="n"/>
      <c r="J27" s="22" t="n"/>
      <c r="K27" s="22" t="n"/>
      <c r="L27" s="22" t="n"/>
      <c r="M27" s="22" t="n"/>
      <c r="N27" s="23">
        <f>COUNTIF(H27:M27,"Г")</f>
        <v/>
      </c>
      <c r="O27" s="23">
        <f>COUNTIF(H27:M27,"Ч")</f>
        <v/>
      </c>
      <c r="P27" s="24" t="n"/>
      <c r="Q27" s="25" t="n"/>
    </row>
    <row r="28" ht="26" customHeight="1">
      <c r="A28" s="17" t="n">
        <v>27</v>
      </c>
      <c r="B28" s="18" t="inlineStr">
        <is>
          <t>Estetik Dental Clinic</t>
        </is>
      </c>
      <c r="C28" s="19" t="inlineStr">
        <is>
          <t>+7 707 530 00 54</t>
        </is>
      </c>
      <c r="D28" s="20" t="inlineStr">
        <is>
          <t>Бостандыкский</t>
        </is>
      </c>
      <c r="E28" s="20" t="inlineStr">
        <is>
          <t>не указаны</t>
        </is>
      </c>
      <c r="F28" s="17" t="inlineStr">
        <is>
          <t>B</t>
        </is>
      </c>
      <c r="G28" s="22" t="n"/>
      <c r="H28" s="22" t="n"/>
      <c r="I28" s="22" t="n"/>
      <c r="J28" s="22" t="n"/>
      <c r="K28" s="22" t="n"/>
      <c r="L28" s="22" t="n"/>
      <c r="M28" s="22" t="n"/>
      <c r="N28" s="23">
        <f>COUNTIF(H28:M28,"Г")</f>
        <v/>
      </c>
      <c r="O28" s="23">
        <f>COUNTIF(H28:M28,"Ч")</f>
        <v/>
      </c>
      <c r="P28" s="24" t="n"/>
      <c r="Q28" s="25" t="n"/>
    </row>
    <row r="29" ht="26" customHeight="1">
      <c r="A29" s="17" t="n">
        <v>28</v>
      </c>
      <c r="B29" s="18" t="inlineStr">
        <is>
          <t>Infinity Dental Clinic</t>
        </is>
      </c>
      <c r="C29" s="19" t="inlineStr">
        <is>
          <t>+7 707 515 64 85</t>
        </is>
      </c>
      <c r="D29" s="20" t="inlineStr">
        <is>
          <t>Ауэзовский</t>
        </is>
      </c>
      <c r="E29" s="20" t="inlineStr">
        <is>
          <t>не указаны</t>
        </is>
      </c>
      <c r="F29" s="17" t="inlineStr">
        <is>
          <t>B</t>
        </is>
      </c>
      <c r="G29" s="22" t="n"/>
      <c r="H29" s="22" t="n"/>
      <c r="I29" s="22" t="n"/>
      <c r="J29" s="22" t="n"/>
      <c r="K29" s="22" t="n"/>
      <c r="L29" s="22" t="n"/>
      <c r="M29" s="22" t="n"/>
      <c r="N29" s="23">
        <f>COUNTIF(H29:M29,"Г")</f>
        <v/>
      </c>
      <c r="O29" s="23">
        <f>COUNTIF(H29:M29,"Ч")</f>
        <v/>
      </c>
      <c r="P29" s="24" t="n"/>
      <c r="Q29" s="25" t="n"/>
    </row>
    <row r="30" ht="26" customHeight="1">
      <c r="A30" s="17" t="n">
        <v>29</v>
      </c>
      <c r="B30" s="18" t="inlineStr">
        <is>
          <t>Izi Clinic</t>
        </is>
      </c>
      <c r="C30" s="19" t="inlineStr">
        <is>
          <t>+7 747 094 01 90</t>
        </is>
      </c>
      <c r="D30" s="20" t="inlineStr">
        <is>
          <t>Алмалинский</t>
        </is>
      </c>
      <c r="E30" s="20" t="inlineStr">
        <is>
          <t>по предварительной записи</t>
        </is>
      </c>
      <c r="F30" s="17" t="inlineStr">
        <is>
          <t>B</t>
        </is>
      </c>
      <c r="G30" s="22" t="n"/>
      <c r="H30" s="22" t="n"/>
      <c r="I30" s="22" t="n"/>
      <c r="J30" s="22" t="n"/>
      <c r="K30" s="22" t="n"/>
      <c r="L30" s="22" t="n"/>
      <c r="M30" s="22" t="n"/>
      <c r="N30" s="23">
        <f>COUNTIF(H30:M30,"Г")</f>
        <v/>
      </c>
      <c r="O30" s="23">
        <f>COUNTIF(H30:M30,"Ч")</f>
        <v/>
      </c>
      <c r="P30" s="24" t="n"/>
      <c r="Q30" s="25" t="n"/>
    </row>
    <row r="31" ht="26" customHeight="1">
      <c r="A31" s="17" t="n">
        <v>30</v>
      </c>
      <c r="B31" s="18" t="inlineStr">
        <is>
          <t>Like-Clinic</t>
        </is>
      </c>
      <c r="C31" s="19" t="inlineStr">
        <is>
          <t>+7 775 103 73 23</t>
        </is>
      </c>
      <c r="D31" s="20" t="inlineStr">
        <is>
          <t>Ауэзовский</t>
        </is>
      </c>
      <c r="E31" s="20" t="inlineStr">
        <is>
          <t>не указаны</t>
        </is>
      </c>
      <c r="F31" s="17" t="inlineStr">
        <is>
          <t>B</t>
        </is>
      </c>
      <c r="G31" s="22" t="n"/>
      <c r="H31" s="22" t="n"/>
      <c r="I31" s="22" t="n"/>
      <c r="J31" s="22" t="n"/>
      <c r="K31" s="22" t="n"/>
      <c r="L31" s="22" t="n"/>
      <c r="M31" s="22" t="n"/>
      <c r="N31" s="23">
        <f>COUNTIF(H31:M31,"Г")</f>
        <v/>
      </c>
      <c r="O31" s="23">
        <f>COUNTIF(H31:M31,"Ч")</f>
        <v/>
      </c>
      <c r="P31" s="24" t="n"/>
      <c r="Q31" s="25" t="n"/>
    </row>
    <row r="32" ht="26" customHeight="1">
      <c r="A32" s="17" t="n">
        <v>31</v>
      </c>
      <c r="B32" s="18" t="inlineStr">
        <is>
          <t>Dr. Yerzhana Musagalieva</t>
        </is>
      </c>
      <c r="C32" s="19" t="inlineStr">
        <is>
          <t>+7 700 710 11 00</t>
        </is>
      </c>
      <c r="D32" s="20" t="inlineStr">
        <is>
          <t>Алмалинский</t>
        </is>
      </c>
      <c r="E32" s="20" t="inlineStr">
        <is>
          <t>не указаны</t>
        </is>
      </c>
      <c r="F32" s="17" t="inlineStr">
        <is>
          <t>B</t>
        </is>
      </c>
      <c r="G32" s="22" t="n"/>
      <c r="H32" s="22" t="n"/>
      <c r="I32" s="22" t="n"/>
      <c r="J32" s="22" t="n"/>
      <c r="K32" s="22" t="n"/>
      <c r="L32" s="22" t="n"/>
      <c r="M32" s="22" t="n"/>
      <c r="N32" s="23">
        <f>COUNTIF(H32:M32,"Г")</f>
        <v/>
      </c>
      <c r="O32" s="23">
        <f>COUNTIF(H32:M32,"Ч")</f>
        <v/>
      </c>
      <c r="P32" s="24" t="n"/>
      <c r="Q32" s="25" t="n"/>
    </row>
    <row r="33" ht="26" customHeight="1">
      <c r="A33" s="17" t="n">
        <v>32</v>
      </c>
      <c r="B33" s="18" t="inlineStr">
        <is>
          <t>AQstom</t>
        </is>
      </c>
      <c r="C33" s="19" t="inlineStr">
        <is>
          <t>+7 707 000 00 22</t>
        </is>
      </c>
      <c r="D33" s="20" t="inlineStr">
        <is>
          <t>Бостандыкский</t>
        </is>
      </c>
      <c r="E33" s="20" t="inlineStr">
        <is>
          <t>не указаны</t>
        </is>
      </c>
      <c r="F33" s="17" t="inlineStr">
        <is>
          <t>B</t>
        </is>
      </c>
      <c r="G33" s="22" t="n"/>
      <c r="H33" s="22" t="n"/>
      <c r="I33" s="22" t="n"/>
      <c r="J33" s="22" t="n"/>
      <c r="K33" s="22" t="n"/>
      <c r="L33" s="22" t="n"/>
      <c r="M33" s="22" t="n"/>
      <c r="N33" s="23">
        <f>COUNTIF(H33:M33,"Г")</f>
        <v/>
      </c>
      <c r="O33" s="23">
        <f>COUNTIF(H33:M33,"Ч")</f>
        <v/>
      </c>
      <c r="P33" s="24" t="n"/>
      <c r="Q33" s="25" t="n"/>
    </row>
    <row r="34" ht="26" customHeight="1">
      <c r="A34" s="17" t="n">
        <v>33</v>
      </c>
      <c r="B34" s="18" t="inlineStr">
        <is>
          <t>Global Dent</t>
        </is>
      </c>
      <c r="C34" s="19" t="inlineStr">
        <is>
          <t>+7 707 470 90 88</t>
        </is>
      </c>
      <c r="D34" s="20" t="inlineStr">
        <is>
          <t>Бостандыкский</t>
        </is>
      </c>
      <c r="E34" s="20" t="inlineStr">
        <is>
          <t>открывается в 09:00 по звонку</t>
        </is>
      </c>
      <c r="F34" s="17" t="inlineStr">
        <is>
          <t>B</t>
        </is>
      </c>
      <c r="G34" s="22" t="n"/>
      <c r="H34" s="22" t="n"/>
      <c r="I34" s="22" t="n"/>
      <c r="J34" s="22" t="n"/>
      <c r="K34" s="22" t="n"/>
      <c r="L34" s="22" t="n"/>
      <c r="M34" s="22" t="n"/>
      <c r="N34" s="23">
        <f>COUNTIF(H34:M34,"Г")</f>
        <v/>
      </c>
      <c r="O34" s="23">
        <f>COUNTIF(H34:M34,"Ч")</f>
        <v/>
      </c>
      <c r="P34" s="24" t="n"/>
      <c r="Q34" s="25" t="n"/>
    </row>
    <row r="35" ht="26" customHeight="1">
      <c r="A35" s="17" t="n">
        <v>34</v>
      </c>
      <c r="B35" s="18" t="inlineStr">
        <is>
          <t>Elit Stom (Сейфуллина 102)</t>
        </is>
      </c>
      <c r="C35" s="19" t="inlineStr">
        <is>
          <t>+7 747 323 28 34</t>
        </is>
      </c>
      <c r="D35" s="20" t="inlineStr">
        <is>
          <t>Турксибский</t>
        </is>
      </c>
      <c r="E35" s="20" t="inlineStr">
        <is>
          <t>не указаны</t>
        </is>
      </c>
      <c r="F35" s="17" t="inlineStr">
        <is>
          <t>B</t>
        </is>
      </c>
      <c r="G35" s="22" t="n"/>
      <c r="H35" s="22" t="n"/>
      <c r="I35" s="22" t="n"/>
      <c r="J35" s="22" t="n"/>
      <c r="K35" s="22" t="n"/>
      <c r="L35" s="22" t="n"/>
      <c r="M35" s="22" t="n"/>
      <c r="N35" s="23">
        <f>COUNTIF(H35:M35,"Г")</f>
        <v/>
      </c>
      <c r="O35" s="23">
        <f>COUNTIF(H35:M35,"Ч")</f>
        <v/>
      </c>
      <c r="P35" s="24" t="n"/>
      <c r="Q35" s="25" t="n"/>
    </row>
    <row r="36" ht="26" customHeight="1">
      <c r="A36" s="17" t="n">
        <v>35</v>
      </c>
      <c r="B36" s="18" t="inlineStr">
        <is>
          <t>Expert 32 stom</t>
        </is>
      </c>
      <c r="C36" s="19" t="inlineStr">
        <is>
          <t>+7 775 846 19 49</t>
        </is>
      </c>
      <c r="D36" s="20" t="inlineStr">
        <is>
          <t>Турксибский</t>
        </is>
      </c>
      <c r="E36" s="20" t="inlineStr">
        <is>
          <t>не указаны</t>
        </is>
      </c>
      <c r="F36" s="17" t="inlineStr">
        <is>
          <t>B</t>
        </is>
      </c>
      <c r="G36" s="22" t="n"/>
      <c r="H36" s="22" t="n"/>
      <c r="I36" s="22" t="n"/>
      <c r="J36" s="22" t="n"/>
      <c r="K36" s="22" t="n"/>
      <c r="L36" s="22" t="n"/>
      <c r="M36" s="22" t="n"/>
      <c r="N36" s="23">
        <f>COUNTIF(H36:M36,"Г")</f>
        <v/>
      </c>
      <c r="O36" s="23">
        <f>COUNTIF(H36:M36,"Ч")</f>
        <v/>
      </c>
      <c r="P36" s="24" t="n"/>
      <c r="Q36" s="25" t="n"/>
    </row>
    <row r="37" ht="26" customHeight="1">
      <c r="A37" s="17" t="n">
        <v>36</v>
      </c>
      <c r="B37" s="18" t="inlineStr">
        <is>
          <t>DentalPRO</t>
        </is>
      </c>
      <c r="C37" s="19" t="inlineStr">
        <is>
          <t>+7 771 800 00 67</t>
        </is>
      </c>
      <c r="D37" s="20" t="inlineStr">
        <is>
          <t>Турксибский</t>
        </is>
      </c>
      <c r="E37" s="20" t="inlineStr">
        <is>
          <t>не указаны</t>
        </is>
      </c>
      <c r="F37" s="17" t="inlineStr">
        <is>
          <t>B</t>
        </is>
      </c>
      <c r="G37" s="22" t="n"/>
      <c r="H37" s="22" t="n"/>
      <c r="I37" s="22" t="n"/>
      <c r="J37" s="22" t="n"/>
      <c r="K37" s="22" t="n"/>
      <c r="L37" s="22" t="n"/>
      <c r="M37" s="22" t="n"/>
      <c r="N37" s="23">
        <f>COUNTIF(H37:M37,"Г")</f>
        <v/>
      </c>
      <c r="O37" s="23">
        <f>COUNTIF(H37:M37,"Ч")</f>
        <v/>
      </c>
      <c r="P37" s="24" t="n"/>
      <c r="Q37" s="25" t="n"/>
    </row>
    <row r="38" ht="26" customHeight="1">
      <c r="A38" s="17" t="n">
        <v>37</v>
      </c>
      <c r="B38" s="18" t="inlineStr">
        <is>
          <t>Dr.Omar Dental Clinic</t>
        </is>
      </c>
      <c r="C38" s="19" t="inlineStr">
        <is>
          <t>+7 778 143 52 61</t>
        </is>
      </c>
      <c r="D38" s="20" t="inlineStr">
        <is>
          <t>Талгарский (Бесагаш)</t>
        </is>
      </c>
      <c r="E38" s="20" t="inlineStr">
        <is>
          <t>открывается в 09:00</t>
        </is>
      </c>
      <c r="F38" s="17" t="inlineStr">
        <is>
          <t>B</t>
        </is>
      </c>
      <c r="G38" s="22" t="n"/>
      <c r="H38" s="22" t="n"/>
      <c r="I38" s="22" t="n"/>
      <c r="J38" s="22" t="n"/>
      <c r="K38" s="22" t="n"/>
      <c r="L38" s="22" t="n"/>
      <c r="M38" s="22" t="n"/>
      <c r="N38" s="23">
        <f>COUNTIF(H38:M38,"Г")</f>
        <v/>
      </c>
      <c r="O38" s="23">
        <f>COUNTIF(H38:M38,"Ч")</f>
        <v/>
      </c>
      <c r="P38" s="24" t="n"/>
      <c r="Q38" s="25" t="n"/>
    </row>
    <row r="39" ht="26" customHeight="1">
      <c r="A39" s="17" t="n">
        <v>38</v>
      </c>
      <c r="B39" s="18" t="inlineStr">
        <is>
          <t>InClinic</t>
        </is>
      </c>
      <c r="C39" s="19" t="inlineStr">
        <is>
          <t>+7 707 333 22 66</t>
        </is>
      </c>
      <c r="D39" s="20" t="inlineStr">
        <is>
          <t>Медеуский</t>
        </is>
      </c>
      <c r="E39" s="20" t="inlineStr">
        <is>
          <t>открывается в 09:00</t>
        </is>
      </c>
      <c r="F39" s="17" t="inlineStr">
        <is>
          <t>B</t>
        </is>
      </c>
      <c r="G39" s="22" t="n"/>
      <c r="H39" s="22" t="n"/>
      <c r="I39" s="22" t="n"/>
      <c r="J39" s="22" t="n"/>
      <c r="K39" s="22" t="n"/>
      <c r="L39" s="22" t="n"/>
      <c r="M39" s="22" t="n"/>
      <c r="N39" s="23">
        <f>COUNTIF(H39:M39,"Г")</f>
        <v/>
      </c>
      <c r="O39" s="23">
        <f>COUNTIF(H39:M39,"Ч")</f>
        <v/>
      </c>
      <c r="P39" s="24" t="n"/>
      <c r="Q39" s="25" t="n"/>
    </row>
    <row r="40" ht="26" customHeight="1">
      <c r="A40" s="17" t="n">
        <v>39</v>
      </c>
      <c r="B40" s="18" t="inlineStr">
        <is>
          <t>DOSTYQ DENTAL CENTER</t>
        </is>
      </c>
      <c r="C40" s="19" t="inlineStr">
        <is>
          <t>+7 707 677 71 09</t>
        </is>
      </c>
      <c r="D40" s="20" t="inlineStr">
        <is>
          <t>Алмалинский</t>
        </is>
      </c>
      <c r="E40" s="20" t="inlineStr">
        <is>
          <t>открывается в 10:00</t>
        </is>
      </c>
      <c r="F40" s="17" t="inlineStr">
        <is>
          <t>B</t>
        </is>
      </c>
      <c r="G40" s="22" t="n"/>
      <c r="H40" s="22" t="n"/>
      <c r="I40" s="22" t="n"/>
      <c r="J40" s="22" t="n"/>
      <c r="K40" s="22" t="n"/>
      <c r="L40" s="22" t="n"/>
      <c r="M40" s="22" t="n"/>
      <c r="N40" s="23">
        <f>COUNTIF(H40:M40,"Г")</f>
        <v/>
      </c>
      <c r="O40" s="23">
        <f>COUNTIF(H40:M40,"Ч")</f>
        <v/>
      </c>
      <c r="P40" s="24" t="n"/>
      <c r="Q40" s="25" t="n"/>
    </row>
    <row r="41" ht="26" customHeight="1">
      <c r="A41" s="17" t="n">
        <v>40</v>
      </c>
      <c r="B41" s="18" t="inlineStr">
        <is>
          <t>КГМЦ</t>
        </is>
      </c>
      <c r="C41" s="19" t="inlineStr">
        <is>
          <t>+7 727 397 37 78</t>
        </is>
      </c>
      <c r="D41" s="20" t="inlineStr">
        <is>
          <t>Турксибский</t>
        </is>
      </c>
      <c r="E41" s="20" t="inlineStr">
        <is>
          <t>открывается в 09:00 по записи</t>
        </is>
      </c>
      <c r="F41" s="17" t="inlineStr">
        <is>
          <t>B</t>
        </is>
      </c>
      <c r="G41" s="22" t="n"/>
      <c r="H41" s="22" t="n"/>
      <c r="I41" s="22" t="n"/>
      <c r="J41" s="22" t="n"/>
      <c r="K41" s="22" t="n"/>
      <c r="L41" s="22" t="n"/>
      <c r="M41" s="22" t="n"/>
      <c r="N41" s="23">
        <f>COUNTIF(H41:M41,"Г")</f>
        <v/>
      </c>
      <c r="O41" s="23">
        <f>COUNTIF(H41:M41,"Ч")</f>
        <v/>
      </c>
      <c r="P41" s="24" t="n"/>
      <c r="Q41" s="25" t="n"/>
    </row>
    <row r="42" ht="26" customHeight="1">
      <c r="A42" s="17" t="n">
        <v>41</v>
      </c>
      <c r="B42" s="18" t="inlineStr">
        <is>
          <t>Стома Плюс</t>
        </is>
      </c>
      <c r="C42" s="19" t="inlineStr">
        <is>
          <t>+7 771 335 30 17</t>
        </is>
      </c>
      <c r="D42" s="20" t="inlineStr">
        <is>
          <t>Алатауский</t>
        </is>
      </c>
      <c r="E42" s="20" t="inlineStr">
        <is>
          <t>09:00-23:00</t>
        </is>
      </c>
      <c r="F42" s="17" t="inlineStr">
        <is>
          <t>C</t>
        </is>
      </c>
      <c r="G42" s="22" t="n"/>
      <c r="H42" s="22" t="n"/>
      <c r="I42" s="22" t="n"/>
      <c r="J42" s="22" t="n"/>
      <c r="K42" s="22" t="n"/>
      <c r="L42" s="22" t="n"/>
      <c r="M42" s="22" t="n"/>
      <c r="N42" s="23">
        <f>COUNTIF(H42:M42,"Г")</f>
        <v/>
      </c>
      <c r="O42" s="23">
        <f>COUNTIF(H42:M42,"Ч")</f>
        <v/>
      </c>
      <c r="P42" s="24" t="n"/>
      <c r="Q42" s="25" t="n"/>
    </row>
    <row r="43" ht="26" customHeight="1">
      <c r="A43" s="17" t="n">
        <v>42</v>
      </c>
      <c r="B43" s="18" t="inlineStr">
        <is>
          <t>Estet Clinic</t>
        </is>
      </c>
      <c r="C43" s="19" t="inlineStr">
        <is>
          <t>+7 707 101 02 33</t>
        </is>
      </c>
      <c r="D43" s="20" t="inlineStr">
        <is>
          <t>Ауэзовский</t>
        </is>
      </c>
      <c r="E43" s="20" t="inlineStr">
        <is>
          <t>09:00-23:00 ежедневно</t>
        </is>
      </c>
      <c r="F43" s="17" t="inlineStr">
        <is>
          <t>C</t>
        </is>
      </c>
      <c r="G43" s="22" t="n"/>
      <c r="H43" s="22" t="n"/>
      <c r="I43" s="22" t="n"/>
      <c r="J43" s="22" t="n"/>
      <c r="K43" s="22" t="n"/>
      <c r="L43" s="22" t="n"/>
      <c r="M43" s="22" t="n"/>
      <c r="N43" s="23">
        <f>COUNTIF(H43:M43,"Г")</f>
        <v/>
      </c>
      <c r="O43" s="23">
        <f>COUNTIF(H43:M43,"Ч")</f>
        <v/>
      </c>
      <c r="P43" s="24" t="n"/>
      <c r="Q43" s="25" t="n"/>
    </row>
    <row r="44" ht="26" customHeight="1">
      <c r="A44" s="17" t="n">
        <v>43</v>
      </c>
      <c r="B44" s="18" t="inlineStr">
        <is>
          <t>Muslim Dent</t>
        </is>
      </c>
      <c r="C44" s="19" t="inlineStr">
        <is>
          <t>+7 771 800 00 65</t>
        </is>
      </c>
      <c r="D44" s="20" t="inlineStr">
        <is>
          <t>Алмалинский</t>
        </is>
      </c>
      <c r="E44" s="20" t="inlineStr">
        <is>
          <t>10:00-23:45 ежедневно</t>
        </is>
      </c>
      <c r="F44" s="17" t="inlineStr">
        <is>
          <t>C</t>
        </is>
      </c>
      <c r="G44" s="22" t="n"/>
      <c r="H44" s="22" t="n"/>
      <c r="I44" s="22" t="n"/>
      <c r="J44" s="22" t="n"/>
      <c r="K44" s="22" t="n"/>
      <c r="L44" s="22" t="n"/>
      <c r="M44" s="22" t="n"/>
      <c r="N44" s="23">
        <f>COUNTIF(H44:M44,"Г")</f>
        <v/>
      </c>
      <c r="O44" s="23">
        <f>COUNTIF(H44:M44,"Ч")</f>
        <v/>
      </c>
      <c r="P44" s="24" t="n"/>
      <c r="Q44" s="25" t="n"/>
    </row>
    <row r="45" ht="26" customHeight="1">
      <c r="A45" s="17" t="n">
        <v>44</v>
      </c>
      <c r="B45" s="18" t="inlineStr">
        <is>
          <t>Bilal stom</t>
        </is>
      </c>
      <c r="C45" s="19" t="inlineStr">
        <is>
          <t>+7 707 666 98 92</t>
        </is>
      </c>
      <c r="D45" s="20" t="inlineStr">
        <is>
          <t>Бостандыкский</t>
        </is>
      </c>
      <c r="E45" s="20" t="inlineStr">
        <is>
          <t>09:00-24:00 ежедневно</t>
        </is>
      </c>
      <c r="F45" s="17" t="inlineStr">
        <is>
          <t>C</t>
        </is>
      </c>
      <c r="G45" s="22" t="n"/>
      <c r="H45" s="22" t="n"/>
      <c r="I45" s="22" t="n"/>
      <c r="J45" s="22" t="n"/>
      <c r="K45" s="22" t="n"/>
      <c r="L45" s="22" t="n"/>
      <c r="M45" s="22" t="n"/>
      <c r="N45" s="23">
        <f>COUNTIF(H45:M45,"Г")</f>
        <v/>
      </c>
      <c r="O45" s="23">
        <f>COUNTIF(H45:M45,"Ч")</f>
        <v/>
      </c>
      <c r="P45" s="24" t="n"/>
      <c r="Q45" s="25" t="n"/>
    </row>
    <row r="46" ht="26" customHeight="1">
      <c r="A46" s="17" t="n">
        <v>45</v>
      </c>
      <c r="B46" s="18" t="inlineStr">
        <is>
          <t>Dr.SULTANOV ATABEK</t>
        </is>
      </c>
      <c r="C46" s="19" t="inlineStr">
        <is>
          <t>+7 775 300 85 05</t>
        </is>
      </c>
      <c r="D46" s="20" t="inlineStr">
        <is>
          <t>Бостандыкский</t>
        </is>
      </c>
      <c r="E46" s="20" t="inlineStr">
        <is>
          <t>09:00-24:00</t>
        </is>
      </c>
      <c r="F46" s="17" t="inlineStr">
        <is>
          <t>C</t>
        </is>
      </c>
      <c r="G46" s="22" t="n"/>
      <c r="H46" s="22" t="n"/>
      <c r="I46" s="22" t="n"/>
      <c r="J46" s="22" t="n"/>
      <c r="K46" s="22" t="n"/>
      <c r="L46" s="22" t="n"/>
      <c r="M46" s="22" t="n"/>
      <c r="N46" s="23">
        <f>COUNTIF(H46:M46,"Г")</f>
        <v/>
      </c>
      <c r="O46" s="23">
        <f>COUNTIF(H46:M46,"Ч")</f>
        <v/>
      </c>
      <c r="P46" s="24" t="n"/>
      <c r="Q46" s="25" t="n"/>
    </row>
    <row r="47" ht="26" customHeight="1">
      <c r="A47" s="17" t="n">
        <v>46</v>
      </c>
      <c r="B47" s="18" t="inlineStr">
        <is>
          <t>Dr. Beridze</t>
        </is>
      </c>
      <c r="C47" s="19" t="inlineStr">
        <is>
          <t>+7 775 522 05 09</t>
        </is>
      </c>
      <c r="D47" s="20" t="inlineStr">
        <is>
          <t>Турксибский</t>
        </is>
      </c>
      <c r="E47" s="20" t="inlineStr">
        <is>
          <t>09:00-24:00 ежедневно</t>
        </is>
      </c>
      <c r="F47" s="17" t="inlineStr">
        <is>
          <t>C</t>
        </is>
      </c>
      <c r="G47" s="22" t="n"/>
      <c r="H47" s="22" t="n"/>
      <c r="I47" s="22" t="n"/>
      <c r="J47" s="22" t="n"/>
      <c r="K47" s="22" t="n"/>
      <c r="L47" s="22" t="n"/>
      <c r="M47" s="22" t="n"/>
      <c r="N47" s="23">
        <f>COUNTIF(H47:M47,"Г")</f>
        <v/>
      </c>
      <c r="O47" s="23">
        <f>COUNTIF(H47:M47,"Ч")</f>
        <v/>
      </c>
      <c r="P47" s="24" t="n"/>
      <c r="Q47" s="25" t="n"/>
    </row>
    <row r="48" ht="26" customHeight="1">
      <c r="A48" s="17" t="n">
        <v>47</v>
      </c>
      <c r="B48" s="18" t="inlineStr">
        <is>
          <t>Elit Dent</t>
        </is>
      </c>
      <c r="C48" s="19" t="inlineStr">
        <is>
          <t>+7 708 269 71 00</t>
        </is>
      </c>
      <c r="D48" s="20" t="inlineStr">
        <is>
          <t>Бостандыкский</t>
        </is>
      </c>
      <c r="E48" s="20" t="inlineStr">
        <is>
          <t>круглосуточно</t>
        </is>
      </c>
      <c r="F48" s="17" t="inlineStr">
        <is>
          <t>C</t>
        </is>
      </c>
      <c r="G48" s="22" t="n"/>
      <c r="H48" s="22" t="n"/>
      <c r="I48" s="22" t="n"/>
      <c r="J48" s="22" t="n"/>
      <c r="K48" s="22" t="n"/>
      <c r="L48" s="22" t="n"/>
      <c r="M48" s="22" t="n"/>
      <c r="N48" s="23">
        <f>COUNTIF(H48:M48,"Г")</f>
        <v/>
      </c>
      <c r="O48" s="23">
        <f>COUNTIF(H48:M48,"Ч")</f>
        <v/>
      </c>
      <c r="P48" s="24" t="n"/>
      <c r="Q48" s="25" t="n"/>
    </row>
  </sheetData>
  <autoFilter ref="A1:Q48"/>
  <conditionalFormatting sqref="G2:M48">
    <cfRule type="cellIs" priority="1" operator="equal" dxfId="0">
      <formula>"Г"</formula>
    </cfRule>
    <cfRule type="cellIs" priority="2" operator="equal" dxfId="1">
      <formula>"Ч"</formula>
    </cfRule>
    <cfRule type="cellIs" priority="3" operator="equal" dxfId="2">
      <formula>"А"</formula>
    </cfRule>
  </conditionalFormatting>
  <dataValidations count="1">
    <dataValidation sqref="G2:M48" showDropDown="0" showInputMessage="0" showErrorMessage="0" allowBlank="1" errorTitle="Неизвестный код" error="Только: Ч, А, Г, З, Н, С" promptTitle="Итог звонка" prompt="Ч — ответил человек&#10;А — автоответчик&#10;Г — гудки&#10;З — занято&#10;Н — недоступен&#10;С — сбросили" type="list">
      <formula1>"Ч,А,Г,З,Н,С"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26" t="inlineStr">
        <is>
          <t>Итоги обзвона</t>
        </is>
      </c>
    </row>
    <row r="2">
      <c r="A2" s="2" t="inlineStr">
        <is>
          <t>Считается автоматически по листу «Обзвон». Ничего заполнять не нужно.</t>
        </is>
      </c>
    </row>
    <row r="4" ht="28" customHeight="1">
      <c r="A4" s="27" t="inlineStr">
        <is>
          <t>Окно</t>
        </is>
      </c>
      <c r="B4" s="27" t="inlineStr">
        <is>
          <t>Сделано звонков</t>
        </is>
      </c>
      <c r="C4" s="27" t="inlineStr">
        <is>
          <t>Ответил человек</t>
        </is>
      </c>
      <c r="D4" s="27" t="inlineStr">
        <is>
          <t>Гудки без ответа</t>
        </is>
      </c>
      <c r="E4" s="27" t="inlineStr">
        <is>
          <t>Доля гудков</t>
        </is>
      </c>
    </row>
    <row r="5">
      <c r="A5" s="28" t="inlineStr">
        <is>
          <t>Рабочее время</t>
        </is>
      </c>
      <c r="B5" s="29">
        <f>COUNTA(Обзвон!$G$2:$G$48)</f>
        <v/>
      </c>
      <c r="C5" s="29">
        <f>COUNTIF(Обзвон!$G$2:$G$48,"Ч")</f>
        <v/>
      </c>
      <c r="D5" s="29">
        <f>COUNTIF(Обзвон!$G$2:$G$48,"Г")</f>
        <v/>
      </c>
      <c r="E5" s="30">
        <f>IFERROR(COUNTIF(Обзвон!$G$2:$G$48,"Г")/COUNTA(Обзвон!$G$2:$G$48),"")</f>
        <v/>
      </c>
    </row>
    <row r="6">
      <c r="A6" s="31" t="inlineStr">
        <is>
          <t>Будний вечер</t>
        </is>
      </c>
      <c r="B6" s="32">
        <f>COUNTA(Обзвон!$H$2:$I$48)</f>
        <v/>
      </c>
      <c r="C6" s="32">
        <f>COUNTIF(Обзвон!$H$2:$I$48,"Ч")</f>
        <v/>
      </c>
      <c r="D6" s="32">
        <f>COUNTIF(Обзвон!$H$2:$I$48,"Г")</f>
        <v/>
      </c>
      <c r="E6" s="33">
        <f>IFERROR(COUNTIF(Обзвон!$H$2:$I$48,"Г")/COUNTA(Обзвон!$H$2:$I$48),"")</f>
        <v/>
      </c>
    </row>
    <row r="7">
      <c r="A7" s="28" t="inlineStr">
        <is>
          <t>Суббота</t>
        </is>
      </c>
      <c r="B7" s="29">
        <f>COUNTA(Обзвон!$J$2:$K$48)</f>
        <v/>
      </c>
      <c r="C7" s="29">
        <f>COUNTIF(Обзвон!$J$2:$K$48,"Ч")</f>
        <v/>
      </c>
      <c r="D7" s="29">
        <f>COUNTIF(Обзвон!$J$2:$K$48,"Г")</f>
        <v/>
      </c>
      <c r="E7" s="30">
        <f>IFERROR(COUNTIF(Обзвон!$J$2:$K$48,"Г")/COUNTA(Обзвон!$J$2:$K$48),"")</f>
        <v/>
      </c>
    </row>
    <row r="8">
      <c r="A8" s="31" t="inlineStr">
        <is>
          <t>Воскресенье</t>
        </is>
      </c>
      <c r="B8" s="32">
        <f>COUNTA(Обзвон!$L$2:$M$48)</f>
        <v/>
      </c>
      <c r="C8" s="32">
        <f>COUNTIF(Обзвон!$L$2:$M$48,"Ч")</f>
        <v/>
      </c>
      <c r="D8" s="32">
        <f>COUNTIF(Обзвон!$L$2:$M$48,"Г")</f>
        <v/>
      </c>
      <c r="E8" s="33">
        <f>IFERROR(COUNTIF(Обзвон!$L$2:$M$48,"Г")/COUNTA(Обзвон!$L$2:$M$48),"")</f>
        <v/>
      </c>
    </row>
    <row r="11">
      <c r="A11" s="34" t="inlineStr">
        <is>
          <t>Что это значит</t>
        </is>
      </c>
    </row>
    <row r="12">
      <c r="A12" s="35" t="inlineStr">
        <is>
          <t>Порог по вечернему окну</t>
        </is>
      </c>
      <c r="B12" s="36">
        <f>IF(E6="","нет данных",IF(E6&gt;0.4,"Продолжаем — гипотеза держится",IF(E6&lt;0.25,"Дверь закрыта — менять нишу или окно","Пограничная зона — смотреть качество ответов")))</f>
        <v/>
      </c>
    </row>
    <row r="14" ht="16" customHeight="1">
      <c r="A14" s="37" t="inlineStr">
        <is>
          <t>• Больше 40% гудков вечером — продолжаем.</t>
        </is>
      </c>
    </row>
    <row r="15" ht="16" customHeight="1">
      <c r="A15" s="37" t="inlineStr">
        <is>
          <t>• Меньше 25% — клиники закрывают вечер сами, эта дверь не наша.</t>
        </is>
      </c>
    </row>
    <row r="16" ht="16" customHeight="1">
      <c r="A16" s="37" t="inlineStr">
        <is>
          <t>• Между 25% и 40% — смотрим заметки: автоответчик без записи и «перезвоните завтра» считаем потерянным звонком.</t>
        </is>
      </c>
    </row>
    <row r="19">
      <c r="A19" s="34" t="inlineStr">
        <is>
          <t>Кандидаты на разговор</t>
        </is>
      </c>
    </row>
    <row r="20" ht="30" customHeight="1">
      <c r="A20" s="37" t="inlineStr">
        <is>
          <t>Отсортируйте лист «Обзвон» по колонке «Гудков» по убыванию. Сверху окажутся клиники, которые не ответили ни разу — с них и начинаем.</t>
        </is>
      </c>
    </row>
    <row r="22">
      <c r="A22" s="38" t="inlineStr">
        <is>
          <t>Клиник, не ответивших ни разу (6 из 6)</t>
        </is>
      </c>
      <c r="B22" s="36">
        <f>COUNTIF(Обзвон!$N$2:$N$48,6)</f>
        <v/>
      </c>
    </row>
    <row r="23">
      <c r="A23" s="38" t="inlineStr">
        <is>
          <t>Клиник, где хотя бы раз ответил человек</t>
        </is>
      </c>
      <c r="B23" s="39">
        <f>COUNTIF(Обзвон!$O$2:$O$48,"&gt;0")</f>
        <v/>
      </c>
    </row>
  </sheetData>
  <mergeCells count="4">
    <mergeCell ref="A16:E16"/>
    <mergeCell ref="A15:E15"/>
    <mergeCell ref="A20:E20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2026-08-24T15:40:41Z</dcterms:created>
  <dcterms:modified xsi:type="dcterms:W3CDTF">2026-08-24T15:40:41Z</dcterms:modified>
</cp:coreProperties>
</file>