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бзвон" sheetId="2" state="visible" r:id="rId2"/>
    <sheet name="Итоги" sheetId="3" state="visible" r:id="rId3"/>
  </sheets>
  <definedNames>
    <definedName name="_xlnm._FilterDatabase" localSheetId="1" hidden="1">'Обзвон'!$A$1:$T$42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F9D55"/>
      <sz val="9"/>
    </font>
    <font>
      <name val="Arial"/>
      <b val="1"/>
      <sz val="10"/>
    </font>
    <font>
      <name val="Arial"/>
      <b val="1"/>
      <color rgb="001F2028"/>
      <sz val="15"/>
    </font>
    <font>
      <name val="Arial"/>
      <color rgb="006C7180"/>
      <sz val="9.5"/>
    </font>
    <font>
      <name val="Arial"/>
      <b val="1"/>
      <color rgb="00FFFFFF"/>
      <sz val="9.5"/>
    </font>
    <font>
      <name val="Arial"/>
      <sz val="10"/>
    </font>
    <font>
      <name val="Arial"/>
      <b val="1"/>
      <color rgb="001F2028"/>
      <sz val="13"/>
    </font>
    <font>
      <name val="Arial"/>
      <color rgb="001F2028"/>
      <sz val="10"/>
    </font>
    <font>
      <name val="Arial"/>
      <b val="1"/>
      <color rgb="00F14635"/>
      <sz val="11"/>
    </font>
    <font>
      <name val="Arial"/>
      <b val="1"/>
      <color rgb="001F2028"/>
      <sz val="10"/>
    </font>
    <font>
      <name val="Arial"/>
      <b val="1"/>
      <sz val="11"/>
    </font>
    <font>
      <name val="Arial"/>
      <b val="1"/>
      <sz val="15"/>
    </font>
    <font>
      <name val="Arial"/>
      <b val="1"/>
      <color rgb="001F2028"/>
      <sz val="11"/>
    </font>
    <font>
      <name val="Arial"/>
      <b val="1"/>
      <color rgb="00FFFFFF"/>
      <sz val="8.5"/>
    </font>
    <font>
      <name val="Arial"/>
      <i val="1"/>
      <sz val="9"/>
    </font>
    <font>
      <name val="Arial"/>
      <b val="1"/>
      <color rgb="00F14635"/>
      <sz val="10"/>
    </font>
    <font>
      <name val="Arial"/>
      <color rgb="00F14635"/>
      <sz val="10"/>
    </font>
    <font>
      <name val="Arial"/>
      <b val="1"/>
      <color rgb="006C7180"/>
      <sz val="9"/>
    </font>
    <font>
      <name val="Arial"/>
      <color rgb="006C7180"/>
      <sz val="9"/>
    </font>
  </fonts>
  <fills count="6">
    <fill>
      <patternFill/>
    </fill>
    <fill>
      <patternFill patternType="gray125"/>
    </fill>
    <fill>
      <patternFill patternType="solid">
        <fgColor rgb="001F2028"/>
      </patternFill>
    </fill>
    <fill>
      <patternFill patternType="solid">
        <fgColor rgb="00FFF7CC"/>
      </patternFill>
    </fill>
    <fill>
      <patternFill patternType="solid">
        <fgColor rgb="00F4F5F7"/>
      </patternFill>
    </fill>
    <fill>
      <patternFill patternType="solid">
        <fgColor rgb="006C7180"/>
      </patternFill>
    </fill>
  </fills>
  <borders count="2">
    <border>
      <left/>
      <right/>
      <top/>
      <bottom/>
      <diagonal/>
    </border>
    <border>
      <left style="thin">
        <color rgb="00D9DBE0"/>
      </left>
      <right style="thin">
        <color rgb="00D9DBE0"/>
      </right>
      <top style="thin">
        <color rgb="00D9DBE0"/>
      </top>
      <bottom style="thin">
        <color rgb="00D9DB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7" fillId="5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9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4" borderId="1" pivotButton="0" quotePrefix="0" xfId="0"/>
    <xf numFmtId="0" fontId="9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B3261E"/>
        <sz val="10"/>
      </font>
      <fill>
        <patternFill patternType="solid">
          <fgColor rgb="00FDE4E1"/>
        </patternFill>
      </fill>
    </dxf>
    <dxf>
      <font>
        <name val="Arial"/>
        <b val="1"/>
        <color rgb="001F7A45"/>
        <sz val="10"/>
      </font>
      <fill>
        <patternFill patternType="solid">
          <fgColor rgb="00E3F5E9"/>
        </patternFill>
      </fill>
    </dxf>
    <dxf>
      <font>
        <name val="Arial"/>
        <b val="1"/>
        <color rgb="008A6100"/>
        <sz val="10"/>
      </font>
      <fill>
        <patternFill patternType="solid">
          <fgColor rgb="00FFF0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0" customWidth="1" min="9" max="9"/>
  </cols>
  <sheetData>
    <row r="1">
      <c r="A1" s="1" t="inlineStr">
        <is>
          <t>Обзвон стоматологий Костаная</t>
        </is>
      </c>
    </row>
    <row r="2">
      <c r="A2" s="2" t="inlineStr">
        <is>
          <t>Заполнять только жёлтые клетки на листе «Обзвон». Остальное считается само.</t>
        </is>
      </c>
    </row>
    <row r="4" ht="16" customHeight="1">
      <c r="A4" s="3" t="inlineStr"/>
      <c r="B4" s="4" t="inlineStr">
        <is>
          <t>СЕМЬ ЗВОНКОВ НА КЛИНИКУ, РАСТЯНУТЫХ НА НЕДЕЛЮ</t>
        </is>
      </c>
    </row>
    <row r="5" ht="28" customHeight="1">
      <c r="A5" s="5" t="inlineStr"/>
      <c r="B5" s="6" t="inlineStr">
        <is>
          <t>Каждая колонка в таблице — это один звонок. «1» и «2» означают два звонка в один и тот же день с интервалом десять минут.</t>
        </is>
      </c>
    </row>
    <row r="6" ht="16" customHeight="1">
      <c r="A6" s="5" t="inlineStr">
        <is>
          <t>Раб.</t>
        </is>
      </c>
      <c r="B6" s="6" t="inlineStr">
        <is>
          <t>Вторник или среда, около 11:00 — один звонок.</t>
        </is>
      </c>
    </row>
    <row r="7" ht="16" customHeight="1">
      <c r="A7" s="5" t="inlineStr">
        <is>
          <t>Веч.1 / Веч.2</t>
        </is>
      </c>
      <c r="B7" s="6" t="inlineStr">
        <is>
          <t>Будний вечер: первый в 20:30, второй в 20:40.</t>
        </is>
      </c>
    </row>
    <row r="8" ht="16" customHeight="1">
      <c r="A8" s="5" t="inlineStr">
        <is>
          <t>Сб.1 / Сб.2</t>
        </is>
      </c>
      <c r="B8" s="6" t="inlineStr">
        <is>
          <t>Суббота: первый в 13:00, второй в 13:10.</t>
        </is>
      </c>
    </row>
    <row r="9" ht="16" customHeight="1">
      <c r="A9" s="5" t="inlineStr">
        <is>
          <t>Вс.1 / Вс.2</t>
        </is>
      </c>
      <c r="B9" s="6" t="inlineStr">
        <is>
          <t>Воскресенье: первый в 12:00, второй в 12:10.</t>
        </is>
      </c>
    </row>
    <row r="10" ht="28" customHeight="1">
      <c r="A10" s="5" t="inlineStr"/>
      <c r="B10" s="6" t="inlineStr">
        <is>
          <t>Повтор через десять минут обязателен: один неотвеченный звонок ничего не доказывает, телефон могли просто не услышать.</t>
        </is>
      </c>
    </row>
    <row r="11" ht="28" customHeight="1">
      <c r="A11" s="5" t="inlineStr"/>
      <c r="B11" s="7" t="inlineStr">
        <is>
          <t>СКОЛЬКО ЖДАТЬ В ОДНОМ ЗВОНКЕ: шесть гудков, потом класть трубку. Это про длительность звонка, а не про их количество.</t>
        </is>
      </c>
    </row>
    <row r="13" ht="16" customHeight="1">
      <c r="A13" s="3" t="inlineStr"/>
      <c r="B13" s="4" t="inlineStr">
        <is>
          <t>ЧТО ЗНАЧИТ ПРИОРИТЕТ</t>
        </is>
      </c>
    </row>
    <row r="14" ht="16" customHeight="1">
      <c r="A14" s="5" t="inlineStr"/>
      <c r="B14" s="6" t="inlineStr">
        <is>
          <t>Это размер окна, когда телефон молчит, а не оценка клиники.</t>
        </is>
      </c>
    </row>
    <row r="15" ht="16" customHeight="1">
      <c r="A15" s="5" t="inlineStr">
        <is>
          <t>A</t>
        </is>
      </c>
      <c r="B15" s="6" t="inlineStr">
        <is>
          <t>Закрываются в 19:00–22:00 или есть обед. Окно широкое, до 14 часов в сутки. Звонить первыми.</t>
        </is>
      </c>
    </row>
    <row r="16" ht="28" customHeight="1">
      <c r="A16" s="5" t="inlineStr">
        <is>
          <t>B</t>
        </is>
      </c>
      <c r="B16" s="6" t="inlineStr">
        <is>
          <t>Часы в 2ГИС не указаны — окно НЕИЗВЕСТНО. Это не «средние», это «пока не знаем». Выяснится на дневном звонке, и группа разойдётся по A и C.</t>
        </is>
      </c>
    </row>
    <row r="17" ht="28" customHeight="1">
      <c r="A17" s="5" t="inlineStr">
        <is>
          <t>C</t>
        </is>
      </c>
      <c r="B17" s="6" t="inlineStr">
        <is>
          <t>Работают до 23:00–24:00 или круглосуточно. Вечернего окна почти нет. В последнюю очередь и только если останется время.</t>
        </is>
      </c>
    </row>
    <row r="20" ht="16" customHeight="1">
      <c r="A20" s="3" t="inlineStr"/>
      <c r="B20" s="4" t="inlineStr">
        <is>
          <t>КОДЫ</t>
        </is>
      </c>
    </row>
    <row r="21" ht="16" customHeight="1">
      <c r="A21" s="5" t="inlineStr">
        <is>
          <t>Ч</t>
        </is>
      </c>
      <c r="B21" s="6" t="inlineStr">
        <is>
          <t>ответил живой человек</t>
        </is>
      </c>
    </row>
    <row r="22" ht="16" customHeight="1">
      <c r="A22" s="5" t="inlineStr">
        <is>
          <t>А</t>
        </is>
      </c>
      <c r="B22" s="6" t="inlineStr">
        <is>
          <t>автоответчик или голосовое сообщение</t>
        </is>
      </c>
    </row>
    <row r="23" ht="16" customHeight="1">
      <c r="A23" s="5" t="inlineStr">
        <is>
          <t>Г</t>
        </is>
      </c>
      <c r="B23" s="6" t="inlineStr">
        <is>
          <t>гудки, никто не взял трубку</t>
        </is>
      </c>
    </row>
    <row r="24" ht="16" customHeight="1">
      <c r="A24" s="5" t="inlineStr">
        <is>
          <t>З</t>
        </is>
      </c>
      <c r="B24" s="6" t="inlineStr">
        <is>
          <t>занято</t>
        </is>
      </c>
    </row>
    <row r="25" ht="16" customHeight="1">
      <c r="A25" s="5" t="inlineStr">
        <is>
          <t>Н</t>
        </is>
      </c>
      <c r="B25" s="6" t="inlineStr">
        <is>
          <t>номер недоступен или не существует</t>
        </is>
      </c>
    </row>
    <row r="26" ht="16" customHeight="1">
      <c r="A26" s="5" t="inlineStr">
        <is>
          <t>С</t>
        </is>
      </c>
      <c r="B26" s="6" t="inlineStr">
        <is>
          <t>сбросили звонок</t>
        </is>
      </c>
    </row>
    <row r="27" ht="16" customHeight="1">
      <c r="A27" s="5" t="inlineStr"/>
      <c r="B27" s="6" t="inlineStr">
        <is>
          <t>Клетка подсвечивается сама: зелёным если ответили, красным если гудки.</t>
        </is>
      </c>
    </row>
    <row r="29" ht="16" customHeight="1">
      <c r="A29" s="3" t="inlineStr"/>
      <c r="B29" s="4" t="inlineStr">
        <is>
          <t>ПРИМЕР ЗАПОЛНЕНИЯ</t>
        </is>
      </c>
    </row>
    <row r="30">
      <c r="A30" s="8" t="inlineStr">
        <is>
          <t>Клиника</t>
        </is>
      </c>
      <c r="B30" s="8" t="inlineStr">
        <is>
          <t>Раб.</t>
        </is>
      </c>
      <c r="C30" s="8" t="inlineStr">
        <is>
          <t>Веч.1</t>
        </is>
      </c>
      <c r="D30" s="8" t="inlineStr">
        <is>
          <t>Веч.2</t>
        </is>
      </c>
      <c r="E30" s="8" t="inlineStr">
        <is>
          <t>Сб.1</t>
        </is>
      </c>
      <c r="F30" s="8" t="inlineStr">
        <is>
          <t>Сб.2</t>
        </is>
      </c>
      <c r="G30" s="8" t="inlineStr">
        <is>
          <t>Вс.1</t>
        </is>
      </c>
      <c r="H30" s="8" t="inlineStr">
        <is>
          <t>Вс.2</t>
        </is>
      </c>
      <c r="I30" s="8" t="inlineStr">
        <is>
          <t>Заметки</t>
        </is>
      </c>
    </row>
    <row r="31" ht="46" customHeight="1">
      <c r="A31" s="9" t="inlineStr">
        <is>
          <t>Ажар Дент</t>
        </is>
      </c>
      <c r="B31" s="10" t="inlineStr">
        <is>
          <t>Ч</t>
        </is>
      </c>
      <c r="C31" s="10" t="inlineStr">
        <is>
          <t>Г</t>
        </is>
      </c>
      <c r="D31" s="10" t="inlineStr">
        <is>
          <t>Г</t>
        </is>
      </c>
      <c r="E31" s="10" t="inlineStr">
        <is>
          <t>Г</t>
        </is>
      </c>
      <c r="F31" s="10" t="inlineStr">
        <is>
          <t>А</t>
        </is>
      </c>
      <c r="G31" s="10" t="inlineStr">
        <is>
          <t>Г</t>
        </is>
      </c>
      <c r="H31" s="10" t="inlineStr">
        <is>
          <t>Г</t>
        </is>
      </c>
      <c r="I31" s="9" t="inlineStr">
        <is>
          <t>Днём ответил администратор. Сказала, что вечером никого нет. Автоответчик в субботу: «клиника работает с 9 до 19». Перезвонили в пн 09:14.</t>
        </is>
      </c>
    </row>
    <row r="34" ht="16" customHeight="1">
      <c r="A34" s="3" t="inlineStr"/>
      <c r="B34" s="4" t="inlineStr">
        <is>
          <t>ЕСЛИ СНЯЛИ ТРУБКУ — СКРИПТ</t>
        </is>
      </c>
    </row>
    <row r="35" ht="16" customHeight="1">
      <c r="A35" s="5" t="inlineStr"/>
      <c r="B35" s="6" t="inlineStr">
        <is>
          <t>Главное в этом звонке — узнать про неявки. Всё остальное второстепенно.</t>
        </is>
      </c>
    </row>
    <row r="36" ht="28" customHeight="1">
      <c r="A36" s="5" t="inlineStr">
        <is>
          <t>Начало</t>
        </is>
      </c>
      <c r="B36" s="6" t="inlineStr">
        <is>
          <t>«Здравствуйте! Меня зовут ___. Я не пациент — я делаю сервис для стоматологий и сейчас изучаю, как у клиник устроена запись. Три вопроса, если найдётся минута.»</t>
        </is>
      </c>
    </row>
    <row r="37" ht="16" customHeight="1">
      <c r="A37" s="5" t="inlineStr">
        <is>
          <t>1.</t>
        </is>
      </c>
      <c r="B37" s="6" t="inlineStr">
        <is>
          <t>«Скажите, у вас бывает так, что пациент записался, а потом не пришёл?»</t>
        </is>
      </c>
    </row>
    <row r="38" ht="28" customHeight="1">
      <c r="A38" s="5" t="inlineStr">
        <is>
          <t>2.</t>
        </is>
      </c>
      <c r="B38" s="6" t="inlineStr">
        <is>
          <t>«А примерно сколько таких было на прошлой неделе?» — нужно число, а не «часто» или «бывает». Записать в колонку «Неявки: сколько».</t>
        </is>
      </c>
    </row>
    <row r="39" ht="28" customHeight="1">
      <c r="A39" s="5" t="inlineStr">
        <is>
          <t>3.</t>
        </is>
      </c>
      <c r="B39" s="6" t="inlineStr">
        <is>
          <t>«И что вы с этим сейчас делаете?» — САМЫЙ ВАЖНЫЙ ВОПРОС. Дать договорить, не подсказывать варианты. Записать в «Что делают сейчас».</t>
        </is>
      </c>
    </row>
    <row r="40" ht="16" customHeight="1">
      <c r="A40" s="5" t="inlineStr">
        <is>
          <t>если напоминают</t>
        </is>
      </c>
      <c r="B40" s="6" t="inlineStr">
        <is>
          <t>«А кто напоминает и за сколько до приёма? Помогает, стало меньше?»</t>
        </is>
      </c>
    </row>
    <row r="41" ht="28" customHeight="1">
      <c r="A41" s="5" t="inlineStr">
        <is>
          <t>Закрытие</t>
        </is>
      </c>
      <c r="B41" s="6" t="inlineStr">
        <is>
          <t>«И последнее: если человек звонит вечером после закрытия — он может к вам записаться?» Потом: «Спасибо большое, вы очень помогли.»</t>
        </is>
      </c>
    </row>
    <row r="43" ht="16" customHeight="1">
      <c r="A43" s="11" t="inlineStr"/>
      <c r="B43" s="12" t="inlineStr">
        <is>
          <t>ЧЕГО НЕ ДЕЛАТЬ В ЭТОМ РАЗГОВОРЕ</t>
        </is>
      </c>
    </row>
    <row r="44" ht="42" customHeight="1">
      <c r="A44" s="13" t="inlineStr"/>
      <c r="B44" s="14" t="inlineStr">
        <is>
          <t>Не рассказывать, что мы делаем сервис против неявок. Как только человек услышит про решение, он начнёт вежливо соглашаться, и ответ обесценится. Сначала узнаём, рассказываем потом и не в этом звонке.</t>
        </is>
      </c>
    </row>
    <row r="45" ht="28" customHeight="1">
      <c r="A45" s="13" t="inlineStr"/>
      <c r="B45" s="14" t="inlineStr">
        <is>
          <t>Не спрашивать «а вам было бы интересно...». Мнения о будущем ничего не стоят, нужны факты про прошлую неделю.</t>
        </is>
      </c>
    </row>
    <row r="46" ht="16" customHeight="1">
      <c r="A46" s="13" t="inlineStr"/>
      <c r="B46" s="14" t="inlineStr">
        <is>
          <t>Не советовать и не спорить, даже если решение кажется очевидным.</t>
        </is>
      </c>
    </row>
    <row r="48" ht="16" customHeight="1">
      <c r="A48" s="11" t="inlineStr"/>
      <c r="B48" s="12" t="inlineStr">
        <is>
          <t>ЧЕГО ДЕЛАТЬ НЕЛЬЗЯ ВООБЩЕ</t>
        </is>
      </c>
    </row>
    <row r="49" ht="16" customHeight="1">
      <c r="A49" s="13" t="inlineStr"/>
      <c r="B49" s="14" t="inlineStr">
        <is>
          <t>Не притворяться пациентом. Ни при каких условиях.</t>
        </is>
      </c>
    </row>
    <row r="50" ht="16" customHeight="1">
      <c r="A50" s="13" t="inlineStr"/>
      <c r="B50" s="14" t="inlineStr">
        <is>
          <t>Не молчать в трубку. Ответили — сразу говорим.</t>
        </is>
      </c>
    </row>
    <row r="51" ht="16" customHeight="1">
      <c r="A51" s="13" t="inlineStr"/>
      <c r="B51" s="14" t="inlineStr">
        <is>
          <t>Ничего не предлагать и не продавать. Сейчас мы только считаем.</t>
        </is>
      </c>
    </row>
    <row r="52" ht="16" customHeight="1">
      <c r="A52" s="13" t="inlineStr"/>
      <c r="B52" s="14" t="inlineStr">
        <is>
          <t>Не спорить и не уговаривать. Отказались — спасибо, до свидания.</t>
        </is>
      </c>
    </row>
    <row r="54" ht="28" customHeight="1">
      <c r="A54" s="5" t="inlineStr"/>
      <c r="B54" s="6" t="inlineStr">
        <is>
          <t>Звонить с одного номера все дни, и с того, на который готовы ответить утром. Часть клиник перезвонит на пропущенный — записывайте дату и время в колонку «Перезвонили».</t>
        </is>
      </c>
    </row>
    <row r="56" ht="28" customHeight="1">
      <c r="A56" s="15" t="inlineStr"/>
      <c r="B56" s="16" t="inlineStr">
        <is>
          <t>Телефоны и адреса взяты из справочника medelement, часы работы — с 32top.kz, 1 сентября 2026 года. Часы там указаны на один день, поэтому проверяйте их в разговоре. Если клиника называет другой график — впишите в заметки.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9" customWidth="1" min="3" max="3"/>
    <col width="19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14" customWidth="1" min="16" max="16"/>
    <col width="16" customWidth="1" min="17" max="17"/>
    <col width="42" customWidth="1" min="18" max="18"/>
    <col width="42" customWidth="1" min="19" max="19"/>
  </cols>
  <sheetData>
    <row r="1" ht="30" customHeight="1">
      <c r="A1" s="17" t="inlineStr">
        <is>
          <t>№</t>
        </is>
      </c>
      <c r="B1" s="17" t="inlineStr">
        <is>
          <t>Клиника</t>
        </is>
      </c>
      <c r="C1" s="17" t="inlineStr">
        <is>
          <t>Телефон</t>
        </is>
      </c>
      <c r="D1" s="17" t="inlineStr">
        <is>
          <t>Доп. телефон</t>
        </is>
      </c>
      <c r="E1" s="17" t="inlineStr">
        <is>
          <t>Адрес</t>
        </is>
      </c>
      <c r="F1" s="17" t="inlineStr">
        <is>
          <t>Часы работы</t>
        </is>
      </c>
      <c r="G1" s="17" t="inlineStr">
        <is>
          <t>Приор.</t>
        </is>
      </c>
      <c r="H1" s="17" t="inlineStr">
        <is>
          <t>Раб.</t>
        </is>
      </c>
      <c r="I1" s="17" t="inlineStr">
        <is>
          <t>Веч.1</t>
        </is>
      </c>
      <c r="J1" s="17" t="inlineStr">
        <is>
          <t>Веч.2</t>
        </is>
      </c>
      <c r="K1" s="17" t="inlineStr">
        <is>
          <t>Сб.1</t>
        </is>
      </c>
      <c r="L1" s="17" t="inlineStr">
        <is>
          <t>Сб.2</t>
        </is>
      </c>
      <c r="M1" s="17" t="inlineStr">
        <is>
          <t>Вс.1</t>
        </is>
      </c>
      <c r="N1" s="17" t="inlineStr">
        <is>
          <t>Вс.2</t>
        </is>
      </c>
      <c r="O1" s="17" t="inlineStr">
        <is>
          <t>Гудков</t>
        </is>
      </c>
      <c r="P1" s="17" t="inlineStr">
        <is>
          <t>Ответов</t>
        </is>
      </c>
      <c r="Q1" s="17" t="inlineStr">
        <is>
          <t>Перезвонили</t>
        </is>
      </c>
      <c r="R1" s="17" t="inlineStr">
        <is>
          <t>Неявки: сколько</t>
        </is>
      </c>
      <c r="S1" s="17" t="inlineStr">
        <is>
          <t>Что делают сейчас</t>
        </is>
      </c>
      <c r="T1" s="17" t="inlineStr">
        <is>
          <t>Заметки</t>
        </is>
      </c>
    </row>
    <row r="2" ht="26" customHeight="1">
      <c r="A2" s="18" t="n">
        <v>1</v>
      </c>
      <c r="B2" s="19" t="inlineStr">
        <is>
          <t>Стоматологический центр "PROTETIKA"</t>
        </is>
      </c>
      <c r="C2" s="20" t="inlineStr">
        <is>
          <t>+7 776 237 84 05</t>
        </is>
      </c>
      <c r="D2" t="inlineStr">
        <is>
          <t>+7 (7142) 91 78 89</t>
        </is>
      </c>
      <c r="E2" s="21" t="inlineStr">
        <is>
          <t>пр. Абая, д. 112</t>
        </is>
      </c>
      <c r="F2" s="21" t="inlineStr">
        <is>
          <t>не указаны</t>
        </is>
      </c>
      <c r="G2" s="22" t="inlineStr">
        <is>
          <t>B</t>
        </is>
      </c>
      <c r="H2" s="23" t="n"/>
      <c r="I2" s="23" t="n"/>
      <c r="J2" s="23" t="n"/>
      <c r="K2" s="23" t="n"/>
      <c r="L2" s="23" t="n"/>
      <c r="M2" s="23" t="n"/>
      <c r="N2" s="23" t="n"/>
      <c r="O2" s="24">
        <f>COUNTIF(I2:N2,"Г")</f>
        <v/>
      </c>
      <c r="P2" s="24">
        <f>COUNTIF(I2:N2,"Ч")</f>
        <v/>
      </c>
      <c r="Q2" s="25" t="n"/>
      <c r="R2" s="26" t="n"/>
      <c r="S2" s="26" t="n"/>
      <c r="T2" s="26" t="n"/>
    </row>
    <row r="3" ht="26" customHeight="1">
      <c r="A3" s="18" t="n">
        <v>2</v>
      </c>
      <c r="B3" s="19" t="inlineStr">
        <is>
          <t>Стоматологический кабинет "МОЙ ДОКТОР"</t>
        </is>
      </c>
      <c r="C3" s="20" t="inlineStr">
        <is>
          <t>+7 705 450 98 95</t>
        </is>
      </c>
      <c r="E3" s="21" t="inlineStr">
        <is>
          <t>ул. Аль-Фараби, д. 117</t>
        </is>
      </c>
      <c r="F3" s="21" t="inlineStr">
        <is>
          <t>09:00-18:00</t>
        </is>
      </c>
      <c r="G3" s="22" t="inlineStr">
        <is>
          <t>A</t>
        </is>
      </c>
      <c r="H3" s="23" t="n"/>
      <c r="I3" s="23" t="n"/>
      <c r="J3" s="23" t="n"/>
      <c r="K3" s="23" t="n"/>
      <c r="L3" s="23" t="n"/>
      <c r="M3" s="23" t="n"/>
      <c r="N3" s="23" t="n"/>
      <c r="O3" s="24">
        <f>COUNTIF(I3:N3,"Г")</f>
        <v/>
      </c>
      <c r="P3" s="24">
        <f>COUNTIF(I3:N3,"Ч")</f>
        <v/>
      </c>
      <c r="Q3" s="25" t="n"/>
      <c r="R3" s="26" t="n"/>
      <c r="S3" s="26" t="n"/>
      <c r="T3" s="26" t="n"/>
    </row>
    <row r="4" ht="26" customHeight="1">
      <c r="A4" s="18" t="n">
        <v>3</v>
      </c>
      <c r="B4" s="19" t="inlineStr">
        <is>
          <t>Стоматология "STOMAX 72+"</t>
        </is>
      </c>
      <c r="C4" s="20" t="inlineStr">
        <is>
          <t>+7 (7142) 56 60 82</t>
        </is>
      </c>
      <c r="D4" t="inlineStr">
        <is>
          <t>+7 777 792 09 81</t>
        </is>
      </c>
      <c r="E4" s="21" t="inlineStr">
        <is>
          <t>ул. Бородина, д. 234Б</t>
        </is>
      </c>
      <c r="F4" s="21" t="inlineStr">
        <is>
          <t>не указаны</t>
        </is>
      </c>
      <c r="G4" s="22" t="inlineStr">
        <is>
          <t>B</t>
        </is>
      </c>
      <c r="H4" s="23" t="n"/>
      <c r="I4" s="23" t="n"/>
      <c r="J4" s="23" t="n"/>
      <c r="K4" s="23" t="n"/>
      <c r="L4" s="23" t="n"/>
      <c r="M4" s="23" t="n"/>
      <c r="N4" s="23" t="n"/>
      <c r="O4" s="24">
        <f>COUNTIF(I4:N4,"Г")</f>
        <v/>
      </c>
      <c r="P4" s="24">
        <f>COUNTIF(I4:N4,"Ч")</f>
        <v/>
      </c>
      <c r="Q4" s="25" t="n"/>
      <c r="R4" s="26" t="n"/>
      <c r="S4" s="26" t="n"/>
      <c r="T4" s="26" t="n"/>
    </row>
    <row r="5" ht="26" customHeight="1">
      <c r="A5" s="18" t="n">
        <v>4</v>
      </c>
      <c r="B5" s="19" t="inlineStr">
        <is>
          <t>DENTAL в 7 мкр</t>
        </is>
      </c>
      <c r="C5" s="20" t="inlineStr">
        <is>
          <t>+7 (7142) 22 36 77</t>
        </is>
      </c>
      <c r="D5" t="inlineStr">
        <is>
          <t>+7 701 068 33 37</t>
        </is>
      </c>
      <c r="E5" s="21" t="inlineStr">
        <is>
          <t>мкр 7, д. 17</t>
        </is>
      </c>
      <c r="F5" s="21" t="inlineStr">
        <is>
          <t>не указаны</t>
        </is>
      </c>
      <c r="G5" s="22" t="inlineStr">
        <is>
          <t>B</t>
        </is>
      </c>
      <c r="H5" s="23" t="n"/>
      <c r="I5" s="23" t="n"/>
      <c r="J5" s="23" t="n"/>
      <c r="K5" s="23" t="n"/>
      <c r="L5" s="23" t="n"/>
      <c r="M5" s="23" t="n"/>
      <c r="N5" s="23" t="n"/>
      <c r="O5" s="24">
        <f>COUNTIF(I5:N5,"Г")</f>
        <v/>
      </c>
      <c r="P5" s="24">
        <f>COUNTIF(I5:N5,"Ч")</f>
        <v/>
      </c>
      <c r="Q5" s="25" t="n"/>
      <c r="R5" s="26" t="n"/>
      <c r="S5" s="26" t="n"/>
      <c r="T5" s="26" t="n"/>
    </row>
    <row r="6" ht="26" customHeight="1">
      <c r="A6" s="18" t="n">
        <v>5</v>
      </c>
      <c r="B6" s="19" t="inlineStr">
        <is>
          <t>DENTAL на Береке</t>
        </is>
      </c>
      <c r="C6" s="20" t="inlineStr">
        <is>
          <t>+7 (7142) 28 42 96</t>
        </is>
      </c>
      <c r="D6" t="inlineStr">
        <is>
          <t>+7 701 059 33 36</t>
        </is>
      </c>
      <c r="E6" s="21" t="inlineStr">
        <is>
          <t>мкр Береке, д. 50</t>
        </is>
      </c>
      <c r="F6" s="21" t="inlineStr">
        <is>
          <t>не указаны</t>
        </is>
      </c>
      <c r="G6" s="22" t="inlineStr">
        <is>
          <t>B</t>
        </is>
      </c>
      <c r="H6" s="23" t="n"/>
      <c r="I6" s="23" t="n"/>
      <c r="J6" s="23" t="n"/>
      <c r="K6" s="23" t="n"/>
      <c r="L6" s="23" t="n"/>
      <c r="M6" s="23" t="n"/>
      <c r="N6" s="23" t="n"/>
      <c r="O6" s="24">
        <f>COUNTIF(I6:N6,"Г")</f>
        <v/>
      </c>
      <c r="P6" s="24">
        <f>COUNTIF(I6:N6,"Ч")</f>
        <v/>
      </c>
      <c r="Q6" s="25" t="n"/>
      <c r="R6" s="26" t="n"/>
      <c r="S6" s="26" t="n"/>
      <c r="T6" s="26" t="n"/>
    </row>
    <row r="7" ht="26" customHeight="1">
      <c r="A7" s="18" t="n">
        <v>6</v>
      </c>
      <c r="B7" s="19" t="inlineStr">
        <is>
          <t>DENTAL на Чехова</t>
        </is>
      </c>
      <c r="C7" s="20" t="inlineStr">
        <is>
          <t>+7 (7142) 56 76 73</t>
        </is>
      </c>
      <c r="D7" t="inlineStr">
        <is>
          <t>+7 701 673 33 80</t>
        </is>
      </c>
      <c r="E7" s="21" t="inlineStr">
        <is>
          <t>ул. Чехова, д. 125</t>
        </is>
      </c>
      <c r="F7" s="21" t="inlineStr">
        <is>
          <t>09:00-19:00</t>
        </is>
      </c>
      <c r="G7" s="22" t="inlineStr">
        <is>
          <t>A</t>
        </is>
      </c>
      <c r="H7" s="23" t="n"/>
      <c r="I7" s="23" t="n"/>
      <c r="J7" s="23" t="n"/>
      <c r="K7" s="23" t="n"/>
      <c r="L7" s="23" t="n"/>
      <c r="M7" s="23" t="n"/>
      <c r="N7" s="23" t="n"/>
      <c r="O7" s="24">
        <f>COUNTIF(I7:N7,"Г")</f>
        <v/>
      </c>
      <c r="P7" s="24">
        <f>COUNTIF(I7:N7,"Ч")</f>
        <v/>
      </c>
      <c r="Q7" s="25" t="n"/>
      <c r="R7" s="26" t="n"/>
      <c r="S7" s="26" t="n"/>
      <c r="T7" s="26" t="n"/>
    </row>
    <row r="8" ht="26" customHeight="1">
      <c r="A8" s="18" t="n">
        <v>7</v>
      </c>
      <c r="B8" s="19" t="inlineStr">
        <is>
          <t>DENTAL на Чкалова</t>
        </is>
      </c>
      <c r="C8" s="20" t="inlineStr">
        <is>
          <t>+7 (7142) 26 42 16</t>
        </is>
      </c>
      <c r="D8" t="inlineStr">
        <is>
          <t>+7 701 950 33 38</t>
        </is>
      </c>
      <c r="E8" s="21" t="inlineStr">
        <is>
          <t>ул. Чкалова, д. 7</t>
        </is>
      </c>
      <c r="F8" s="21" t="inlineStr">
        <is>
          <t>09:00-19:00</t>
        </is>
      </c>
      <c r="G8" s="22" t="inlineStr">
        <is>
          <t>A</t>
        </is>
      </c>
      <c r="H8" s="23" t="n"/>
      <c r="I8" s="23" t="n"/>
      <c r="J8" s="23" t="n"/>
      <c r="K8" s="23" t="n"/>
      <c r="L8" s="23" t="n"/>
      <c r="M8" s="23" t="n"/>
      <c r="N8" s="23" t="n"/>
      <c r="O8" s="24">
        <f>COUNTIF(I8:N8,"Г")</f>
        <v/>
      </c>
      <c r="P8" s="24">
        <f>COUNTIF(I8:N8,"Ч")</f>
        <v/>
      </c>
      <c r="Q8" s="25" t="n"/>
      <c r="R8" s="26" t="n"/>
      <c r="S8" s="26" t="n"/>
      <c r="T8" s="26" t="n"/>
    </row>
    <row r="9" ht="26" customHeight="1">
      <c r="A9" s="18" t="n">
        <v>8</v>
      </c>
      <c r="B9" s="19" t="inlineStr">
        <is>
          <t>DENTAL на Каирбекова</t>
        </is>
      </c>
      <c r="C9" s="20" t="inlineStr">
        <is>
          <t>+7 (7142) 56 48 66</t>
        </is>
      </c>
      <c r="D9" t="inlineStr">
        <is>
          <t>+7 701 064 33 31</t>
        </is>
      </c>
      <c r="E9" s="21" t="inlineStr">
        <is>
          <t>ул. Каирбекова, д. 389</t>
        </is>
      </c>
      <c r="F9" s="21" t="inlineStr">
        <is>
          <t>не указаны</t>
        </is>
      </c>
      <c r="G9" s="22" t="inlineStr">
        <is>
          <t>B</t>
        </is>
      </c>
      <c r="H9" s="23" t="n"/>
      <c r="I9" s="23" t="n"/>
      <c r="J9" s="23" t="n"/>
      <c r="K9" s="23" t="n"/>
      <c r="L9" s="23" t="n"/>
      <c r="M9" s="23" t="n"/>
      <c r="N9" s="23" t="n"/>
      <c r="O9" s="24">
        <f>COUNTIF(I9:N9,"Г")</f>
        <v/>
      </c>
      <c r="P9" s="24">
        <f>COUNTIF(I9:N9,"Ч")</f>
        <v/>
      </c>
      <c r="Q9" s="25" t="n"/>
      <c r="R9" s="26" t="n"/>
      <c r="S9" s="26" t="n"/>
      <c r="T9" s="26" t="n"/>
    </row>
    <row r="10" ht="26" customHeight="1">
      <c r="A10" s="18" t="n">
        <v>9</v>
      </c>
      <c r="B10" s="19" t="inlineStr">
        <is>
          <t>ЖЕМЧУЖИНА СТОМЕД на Пушкина</t>
        </is>
      </c>
      <c r="C10" s="20" t="inlineStr">
        <is>
          <t>+7 (7142) 50 33 00</t>
        </is>
      </c>
      <c r="D10" t="inlineStr">
        <is>
          <t>+7 707 550 63 55</t>
        </is>
      </c>
      <c r="E10" s="21" t="inlineStr">
        <is>
          <t>ул. Пушкина, д. 54</t>
        </is>
      </c>
      <c r="F10" s="21" t="inlineStr">
        <is>
          <t>09:00-20:00</t>
        </is>
      </c>
      <c r="G10" s="22" t="inlineStr">
        <is>
          <t>A</t>
        </is>
      </c>
      <c r="H10" s="23" t="n"/>
      <c r="I10" s="23" t="n"/>
      <c r="J10" s="23" t="n"/>
      <c r="K10" s="23" t="n"/>
      <c r="L10" s="23" t="n"/>
      <c r="M10" s="23" t="n"/>
      <c r="N10" s="23" t="n"/>
      <c r="O10" s="24">
        <f>COUNTIF(I10:N10,"Г")</f>
        <v/>
      </c>
      <c r="P10" s="24">
        <f>COUNTIF(I10:N10,"Ч")</f>
        <v/>
      </c>
      <c r="Q10" s="25" t="n"/>
      <c r="R10" s="26" t="n"/>
      <c r="S10" s="26" t="n"/>
      <c r="T10" s="26" t="n"/>
    </row>
    <row r="11" ht="26" customHeight="1">
      <c r="A11" s="18" t="n">
        <v>10</v>
      </c>
      <c r="B11" s="19" t="inlineStr">
        <is>
          <t>ЖЕМЧУЖИНА СТОМЕД на Уральской</t>
        </is>
      </c>
      <c r="C11" s="20" t="inlineStr">
        <is>
          <t>+7 (7142) 28 01 69</t>
        </is>
      </c>
      <c r="D11" t="inlineStr">
        <is>
          <t>+7 (7142) 50 33 00</t>
        </is>
      </c>
      <c r="E11" s="21" t="inlineStr">
        <is>
          <t>ул. Уральская, д. 14</t>
        </is>
      </c>
      <c r="F11" s="21" t="inlineStr">
        <is>
          <t>не указаны</t>
        </is>
      </c>
      <c r="G11" s="22" t="inlineStr">
        <is>
          <t>B</t>
        </is>
      </c>
      <c r="H11" s="23" t="n"/>
      <c r="I11" s="23" t="n"/>
      <c r="J11" s="23" t="n"/>
      <c r="K11" s="23" t="n"/>
      <c r="L11" s="23" t="n"/>
      <c r="M11" s="23" t="n"/>
      <c r="N11" s="23" t="n"/>
      <c r="O11" s="24">
        <f>COUNTIF(I11:N11,"Г")</f>
        <v/>
      </c>
      <c r="P11" s="24">
        <f>COUNTIF(I11:N11,"Ч")</f>
        <v/>
      </c>
      <c r="Q11" s="25" t="n"/>
      <c r="R11" s="26" t="n"/>
      <c r="S11" s="26" t="n"/>
      <c r="T11" s="26" t="n"/>
    </row>
    <row r="12" ht="26" customHeight="1">
      <c r="A12" s="18" t="n">
        <v>11</v>
      </c>
      <c r="B12" s="19" t="inlineStr">
        <is>
          <t>ОДОНТИК</t>
        </is>
      </c>
      <c r="C12" s="20" t="inlineStr">
        <is>
          <t>+7 777 236 38 15</t>
        </is>
      </c>
      <c r="E12" s="21" t="inlineStr">
        <is>
          <t>ул. Урожайная, д. 16</t>
        </is>
      </c>
      <c r="F12" s="21" t="inlineStr">
        <is>
          <t>09:00-18:00</t>
        </is>
      </c>
      <c r="G12" s="22" t="inlineStr">
        <is>
          <t>A</t>
        </is>
      </c>
      <c r="H12" s="23" t="n"/>
      <c r="I12" s="23" t="n"/>
      <c r="J12" s="23" t="n"/>
      <c r="K12" s="23" t="n"/>
      <c r="L12" s="23" t="n"/>
      <c r="M12" s="23" t="n"/>
      <c r="N12" s="23" t="n"/>
      <c r="O12" s="24">
        <f>COUNTIF(I12:N12,"Г")</f>
        <v/>
      </c>
      <c r="P12" s="24">
        <f>COUNTIF(I12:N12,"Ч")</f>
        <v/>
      </c>
      <c r="Q12" s="25" t="n"/>
      <c r="R12" s="26" t="n"/>
      <c r="S12" s="26" t="n"/>
      <c r="T12" s="26" t="n"/>
    </row>
    <row r="13" ht="26" customHeight="1">
      <c r="A13" s="18" t="n">
        <v>12</v>
      </c>
      <c r="B13" s="19" t="inlineStr">
        <is>
          <t>КОКТЕМ-3</t>
        </is>
      </c>
      <c r="C13" s="20" t="inlineStr">
        <is>
          <t>+7 (7142) 54 96 05</t>
        </is>
      </c>
      <c r="D13" t="inlineStr">
        <is>
          <t>+7 747 752 82 53</t>
        </is>
      </c>
      <c r="E13" s="21" t="inlineStr">
        <is>
          <t>ул. Тауелсиздик, д. 87</t>
        </is>
      </c>
      <c r="F13" s="21" t="inlineStr">
        <is>
          <t>не указаны</t>
        </is>
      </c>
      <c r="G13" s="18" t="inlineStr">
        <is>
          <t>B</t>
        </is>
      </c>
      <c r="H13" s="23" t="n"/>
      <c r="I13" s="23" t="n"/>
      <c r="J13" s="23" t="n"/>
      <c r="K13" s="23" t="n"/>
      <c r="L13" s="23" t="n"/>
      <c r="M13" s="23" t="n"/>
      <c r="N13" s="23" t="n"/>
      <c r="O13" s="24">
        <f>COUNTIF(I13:N13,"Г")</f>
        <v/>
      </c>
      <c r="P13" s="24">
        <f>COUNTIF(I13:N13,"Ч")</f>
        <v/>
      </c>
      <c r="Q13" s="25" t="n"/>
      <c r="R13" s="26" t="n"/>
      <c r="S13" s="26" t="n"/>
      <c r="T13" s="26" t="n"/>
    </row>
    <row r="14" ht="26" customHeight="1">
      <c r="A14" s="18" t="n">
        <v>13</v>
      </c>
      <c r="B14" s="19" t="inlineStr">
        <is>
          <t>ТУЛЕШ</t>
        </is>
      </c>
      <c r="C14" s="20" t="inlineStr">
        <is>
          <t>+7 (7142) 22 65 55</t>
        </is>
      </c>
      <c r="D14" t="inlineStr">
        <is>
          <t>+7 776 999 32 29</t>
        </is>
      </c>
      <c r="E14" s="21" t="inlineStr">
        <is>
          <t>мкр 7, д. 15</t>
        </is>
      </c>
      <c r="F14" s="21" t="inlineStr">
        <is>
          <t>не указаны</t>
        </is>
      </c>
      <c r="G14" s="18" t="inlineStr">
        <is>
          <t>B</t>
        </is>
      </c>
      <c r="H14" s="23" t="n"/>
      <c r="I14" s="23" t="n"/>
      <c r="J14" s="23" t="n"/>
      <c r="K14" s="23" t="n"/>
      <c r="L14" s="23" t="n"/>
      <c r="M14" s="23" t="n"/>
      <c r="N14" s="23" t="n"/>
      <c r="O14" s="24">
        <f>COUNTIF(I14:N14,"Г")</f>
        <v/>
      </c>
      <c r="P14" s="24">
        <f>COUNTIF(I14:N14,"Ч")</f>
        <v/>
      </c>
      <c r="Q14" s="25" t="n"/>
      <c r="R14" s="26" t="n"/>
      <c r="S14" s="26" t="n"/>
      <c r="T14" s="26" t="n"/>
    </row>
    <row r="15" ht="26" customHeight="1">
      <c r="A15" s="18" t="n">
        <v>14</v>
      </c>
      <c r="B15" s="19" t="inlineStr">
        <is>
          <t>MIA DENTA</t>
        </is>
      </c>
      <c r="C15" s="20" t="inlineStr">
        <is>
          <t>+7 (7142) 39 66 43</t>
        </is>
      </c>
      <c r="D15" t="inlineStr">
        <is>
          <t>+7 777 972 44 55</t>
        </is>
      </c>
      <c r="E15" s="21" t="inlineStr">
        <is>
          <t>ул. Алтынсарина, д. 32</t>
        </is>
      </c>
      <c r="F15" s="21" t="inlineStr">
        <is>
          <t>не указаны</t>
        </is>
      </c>
      <c r="G15" s="18" t="inlineStr">
        <is>
          <t>B</t>
        </is>
      </c>
      <c r="H15" s="23" t="n"/>
      <c r="I15" s="23" t="n"/>
      <c r="J15" s="23" t="n"/>
      <c r="K15" s="23" t="n"/>
      <c r="L15" s="23" t="n"/>
      <c r="M15" s="23" t="n"/>
      <c r="N15" s="23" t="n"/>
      <c r="O15" s="24">
        <f>COUNTIF(I15:N15,"Г")</f>
        <v/>
      </c>
      <c r="P15" s="24">
        <f>COUNTIF(I15:N15,"Ч")</f>
        <v/>
      </c>
      <c r="Q15" s="25" t="n"/>
      <c r="R15" s="26" t="n"/>
      <c r="S15" s="26" t="n"/>
      <c r="T15" s="26" t="n"/>
    </row>
    <row r="16" ht="26" customHeight="1">
      <c r="A16" s="18" t="n">
        <v>15</v>
      </c>
      <c r="B16" s="19" t="inlineStr">
        <is>
          <t>Медцентр МЕДИКУС</t>
        </is>
      </c>
      <c r="C16" s="20" t="inlineStr">
        <is>
          <t>+7 (7142) 28 25 43</t>
        </is>
      </c>
      <c r="D16" t="inlineStr">
        <is>
          <t>+7 777 298 53 42</t>
        </is>
      </c>
      <c r="E16" s="21" t="inlineStr">
        <is>
          <t>ул. Строительная, д. 6</t>
        </is>
      </c>
      <c r="F16" s="21" t="inlineStr">
        <is>
          <t>не указаны</t>
        </is>
      </c>
      <c r="G16" s="18" t="inlineStr">
        <is>
          <t>B</t>
        </is>
      </c>
      <c r="H16" s="23" t="n"/>
      <c r="I16" s="23" t="n"/>
      <c r="J16" s="23" t="n"/>
      <c r="K16" s="23" t="n"/>
      <c r="L16" s="23" t="n"/>
      <c r="M16" s="23" t="n"/>
      <c r="N16" s="23" t="n"/>
      <c r="O16" s="24">
        <f>COUNTIF(I16:N16,"Г")</f>
        <v/>
      </c>
      <c r="P16" s="24">
        <f>COUNTIF(I16:N16,"Ч")</f>
        <v/>
      </c>
      <c r="Q16" s="25" t="n"/>
      <c r="R16" s="26" t="n"/>
      <c r="S16" s="26" t="n"/>
      <c r="T16" s="26" t="n"/>
    </row>
    <row r="17" ht="26" customHeight="1">
      <c r="A17" s="18" t="n">
        <v>16</v>
      </c>
      <c r="B17" s="19" t="inlineStr">
        <is>
          <t>ДЕНТАЛ-СЕРВИС</t>
        </is>
      </c>
      <c r="C17" s="20" t="inlineStr">
        <is>
          <t>+7 707 370 17 99</t>
        </is>
      </c>
      <c r="E17" s="21" t="inlineStr">
        <is>
          <t>ул. Абая, д. 63</t>
        </is>
      </c>
      <c r="F17" s="21" t="inlineStr">
        <is>
          <t>09:00-18:00</t>
        </is>
      </c>
      <c r="G17" s="18" t="inlineStr">
        <is>
          <t>A</t>
        </is>
      </c>
      <c r="H17" s="23" t="n"/>
      <c r="I17" s="23" t="n"/>
      <c r="J17" s="23" t="n"/>
      <c r="K17" s="23" t="n"/>
      <c r="L17" s="23" t="n"/>
      <c r="M17" s="23" t="n"/>
      <c r="N17" s="23" t="n"/>
      <c r="O17" s="24">
        <f>COUNTIF(I17:N17,"Г")</f>
        <v/>
      </c>
      <c r="P17" s="24">
        <f>COUNTIF(I17:N17,"Ч")</f>
        <v/>
      </c>
      <c r="Q17" s="25" t="n"/>
      <c r="R17" s="26" t="n"/>
      <c r="S17" s="26" t="n"/>
      <c r="T17" s="26" t="n"/>
    </row>
    <row r="18" ht="26" customHeight="1">
      <c r="A18" s="18" t="n">
        <v>17</v>
      </c>
      <c r="B18" s="19" t="inlineStr">
        <is>
          <t>ЭРА</t>
        </is>
      </c>
      <c r="C18" s="20" t="inlineStr">
        <is>
          <t>+7 (7142) 56 46 46</t>
        </is>
      </c>
      <c r="D18" t="inlineStr">
        <is>
          <t>+7 747 601 93 60</t>
        </is>
      </c>
      <c r="E18" s="21" t="inlineStr">
        <is>
          <t>ул. Каирбекова, д. 377</t>
        </is>
      </c>
      <c r="F18" s="21" t="inlineStr">
        <is>
          <t>не указаны</t>
        </is>
      </c>
      <c r="G18" s="18" t="inlineStr">
        <is>
          <t>B</t>
        </is>
      </c>
      <c r="H18" s="23" t="n"/>
      <c r="I18" s="23" t="n"/>
      <c r="J18" s="23" t="n"/>
      <c r="K18" s="23" t="n"/>
      <c r="L18" s="23" t="n"/>
      <c r="M18" s="23" t="n"/>
      <c r="N18" s="23" t="n"/>
      <c r="O18" s="24">
        <f>COUNTIF(I18:N18,"Г")</f>
        <v/>
      </c>
      <c r="P18" s="24">
        <f>COUNTIF(I18:N18,"Ч")</f>
        <v/>
      </c>
      <c r="Q18" s="25" t="n"/>
      <c r="R18" s="26" t="n"/>
      <c r="S18" s="26" t="n"/>
      <c r="T18" s="26" t="n"/>
    </row>
    <row r="19" ht="26" customHeight="1">
      <c r="A19" s="18" t="n">
        <v>18</v>
      </c>
      <c r="B19" s="19" t="inlineStr">
        <is>
          <t>ТОТЫ</t>
        </is>
      </c>
      <c r="C19" s="20" t="inlineStr">
        <is>
          <t>+7 (7142) 91 73 29</t>
        </is>
      </c>
      <c r="D19" t="inlineStr">
        <is>
          <t>+7 701 473 36 63</t>
        </is>
      </c>
      <c r="E19" s="21" t="inlineStr">
        <is>
          <t>ул. Алтынсарина, д. 153</t>
        </is>
      </c>
      <c r="F19" s="21" t="inlineStr">
        <is>
          <t>не указаны</t>
        </is>
      </c>
      <c r="G19" s="18" t="inlineStr">
        <is>
          <t>B</t>
        </is>
      </c>
      <c r="H19" s="23" t="n"/>
      <c r="I19" s="23" t="n"/>
      <c r="J19" s="23" t="n"/>
      <c r="K19" s="23" t="n"/>
      <c r="L19" s="23" t="n"/>
      <c r="M19" s="23" t="n"/>
      <c r="N19" s="23" t="n"/>
      <c r="O19" s="24">
        <f>COUNTIF(I19:N19,"Г")</f>
        <v/>
      </c>
      <c r="P19" s="24">
        <f>COUNTIF(I19:N19,"Ч")</f>
        <v/>
      </c>
      <c r="Q19" s="25" t="n"/>
      <c r="R19" s="26" t="n"/>
      <c r="S19" s="26" t="n"/>
      <c r="T19" s="26" t="n"/>
    </row>
    <row r="20" ht="26" customHeight="1">
      <c r="A20" s="18" t="n">
        <v>19</v>
      </c>
      <c r="B20" s="19" t="inlineStr">
        <is>
          <t>НАРИ-С</t>
        </is>
      </c>
      <c r="C20" s="20" t="inlineStr">
        <is>
          <t>+7 (7142) 26 16 78</t>
        </is>
      </c>
      <c r="D20" t="inlineStr">
        <is>
          <t>+7 747 430 62 39</t>
        </is>
      </c>
      <c r="E20" s="21" t="inlineStr">
        <is>
          <t>пр. Абая, д. 12</t>
        </is>
      </c>
      <c r="F20" s="21" t="inlineStr">
        <is>
          <t>10:00-17:00</t>
        </is>
      </c>
      <c r="G20" s="18" t="inlineStr">
        <is>
          <t>A</t>
        </is>
      </c>
      <c r="H20" s="23" t="n"/>
      <c r="I20" s="23" t="n"/>
      <c r="J20" s="23" t="n"/>
      <c r="K20" s="23" t="n"/>
      <c r="L20" s="23" t="n"/>
      <c r="M20" s="23" t="n"/>
      <c r="N20" s="23" t="n"/>
      <c r="O20" s="24">
        <f>COUNTIF(I20:N20,"Г")</f>
        <v/>
      </c>
      <c r="P20" s="24">
        <f>COUNTIF(I20:N20,"Ч")</f>
        <v/>
      </c>
      <c r="Q20" s="25" t="n"/>
      <c r="R20" s="26" t="n"/>
      <c r="S20" s="26" t="n"/>
      <c r="T20" s="26" t="n"/>
    </row>
    <row r="21" ht="26" customHeight="1">
      <c r="A21" s="18" t="n">
        <v>20</v>
      </c>
      <c r="B21" s="19" t="inlineStr">
        <is>
          <t>ЗУБ и К</t>
        </is>
      </c>
      <c r="C21" s="20" t="inlineStr">
        <is>
          <t>+7 (7142) 26 72 29</t>
        </is>
      </c>
      <c r="D21" t="inlineStr">
        <is>
          <t>+7 776 079 19 25</t>
        </is>
      </c>
      <c r="E21" s="21" t="inlineStr">
        <is>
          <t>ул. Чкалова, д. 14</t>
        </is>
      </c>
      <c r="F21" s="21" t="inlineStr">
        <is>
          <t>09:00-17:00</t>
        </is>
      </c>
      <c r="G21" s="18" t="inlineStr">
        <is>
          <t>A</t>
        </is>
      </c>
      <c r="H21" s="23" t="n"/>
      <c r="I21" s="23" t="n"/>
      <c r="J21" s="23" t="n"/>
      <c r="K21" s="23" t="n"/>
      <c r="L21" s="23" t="n"/>
      <c r="M21" s="23" t="n"/>
      <c r="N21" s="23" t="n"/>
      <c r="O21" s="24">
        <f>COUNTIF(I21:N21,"Г")</f>
        <v/>
      </c>
      <c r="P21" s="24">
        <f>COUNTIF(I21:N21,"Ч")</f>
        <v/>
      </c>
      <c r="Q21" s="25" t="n"/>
      <c r="R21" s="26" t="n"/>
      <c r="S21" s="26" t="n"/>
      <c r="T21" s="26" t="n"/>
    </row>
    <row r="22" ht="26" customHeight="1">
      <c r="A22" s="18" t="n">
        <v>21</v>
      </c>
      <c r="B22" s="19" t="inlineStr">
        <is>
          <t>Стоматология 32</t>
        </is>
      </c>
      <c r="C22" s="20" t="inlineStr">
        <is>
          <t>+7 (7142) 55 30 03</t>
        </is>
      </c>
      <c r="D22" t="inlineStr">
        <is>
          <t>+7 776 127 64 82</t>
        </is>
      </c>
      <c r="E22" s="21" t="inlineStr">
        <is>
          <t>ул. Кобланды батыра, д. 38</t>
        </is>
      </c>
      <c r="F22" s="21" t="inlineStr">
        <is>
          <t>не указаны</t>
        </is>
      </c>
      <c r="G22" s="18" t="inlineStr">
        <is>
          <t>B</t>
        </is>
      </c>
      <c r="H22" s="23" t="n"/>
      <c r="I22" s="23" t="n"/>
      <c r="J22" s="23" t="n"/>
      <c r="K22" s="23" t="n"/>
      <c r="L22" s="23" t="n"/>
      <c r="M22" s="23" t="n"/>
      <c r="N22" s="23" t="n"/>
      <c r="O22" s="24">
        <f>COUNTIF(I22:N22,"Г")</f>
        <v/>
      </c>
      <c r="P22" s="24">
        <f>COUNTIF(I22:N22,"Ч")</f>
        <v/>
      </c>
      <c r="Q22" s="25" t="n"/>
      <c r="R22" s="26" t="n"/>
      <c r="S22" s="26" t="n"/>
      <c r="T22" s="26" t="n"/>
    </row>
    <row r="23" ht="26" customHeight="1">
      <c r="A23" s="18" t="n">
        <v>22</v>
      </c>
      <c r="B23" s="19" t="inlineStr">
        <is>
          <t>Стоматология на Майлина</t>
        </is>
      </c>
      <c r="C23" s="20" t="inlineStr">
        <is>
          <t>+7 (7142) 57 25 65</t>
        </is>
      </c>
      <c r="D23" t="inlineStr">
        <is>
          <t>+7 777 255 32 63</t>
        </is>
      </c>
      <c r="E23" s="21" t="inlineStr">
        <is>
          <t>ул. Майлина, д. 18</t>
        </is>
      </c>
      <c r="F23" s="21" t="inlineStr">
        <is>
          <t>не указаны</t>
        </is>
      </c>
      <c r="G23" s="18" t="inlineStr">
        <is>
          <t>B</t>
        </is>
      </c>
      <c r="H23" s="23" t="n"/>
      <c r="I23" s="23" t="n"/>
      <c r="J23" s="23" t="n"/>
      <c r="K23" s="23" t="n"/>
      <c r="L23" s="23" t="n"/>
      <c r="M23" s="23" t="n"/>
      <c r="N23" s="23" t="n"/>
      <c r="O23" s="24">
        <f>COUNTIF(I23:N23,"Г")</f>
        <v/>
      </c>
      <c r="P23" s="24">
        <f>COUNTIF(I23:N23,"Ч")</f>
        <v/>
      </c>
      <c r="Q23" s="25" t="n"/>
      <c r="R23" s="26" t="n"/>
      <c r="S23" s="26" t="n"/>
      <c r="T23" s="26" t="n"/>
    </row>
    <row r="24" ht="26" customHeight="1">
      <c r="A24" s="18" t="n">
        <v>23</v>
      </c>
      <c r="B24" s="19" t="inlineStr">
        <is>
          <t>Стоматология в мкр 9</t>
        </is>
      </c>
      <c r="C24" s="20" t="inlineStr">
        <is>
          <t>+7 777 328 57 66</t>
        </is>
      </c>
      <c r="D24" t="inlineStr">
        <is>
          <t>+7 777 562 16 33</t>
        </is>
      </c>
      <c r="E24" s="21" t="inlineStr">
        <is>
          <t>мкр 9, д. 4А</t>
        </is>
      </c>
      <c r="F24" s="21" t="inlineStr">
        <is>
          <t>не указаны</t>
        </is>
      </c>
      <c r="G24" s="18" t="inlineStr">
        <is>
          <t>B</t>
        </is>
      </c>
      <c r="H24" s="23" t="n"/>
      <c r="I24" s="23" t="n"/>
      <c r="J24" s="23" t="n"/>
      <c r="K24" s="23" t="n"/>
      <c r="L24" s="23" t="n"/>
      <c r="M24" s="23" t="n"/>
      <c r="N24" s="23" t="n"/>
      <c r="O24" s="24">
        <f>COUNTIF(I24:N24,"Г")</f>
        <v/>
      </c>
      <c r="P24" s="24">
        <f>COUNTIF(I24:N24,"Ч")</f>
        <v/>
      </c>
      <c r="Q24" s="25" t="n"/>
      <c r="R24" s="26" t="n"/>
      <c r="S24" s="26" t="n"/>
      <c r="T24" s="26" t="n"/>
    </row>
    <row r="25" ht="26" customHeight="1">
      <c r="A25" s="18" t="n">
        <v>24</v>
      </c>
      <c r="B25" s="19" t="inlineStr">
        <is>
          <t>Стоматология на Аль-Фараби 123</t>
        </is>
      </c>
      <c r="C25" s="20" t="inlineStr">
        <is>
          <t>+7 (7142) 90 02 39</t>
        </is>
      </c>
      <c r="D25" t="inlineStr">
        <is>
          <t>+7 777 134 16 88</t>
        </is>
      </c>
      <c r="E25" s="21" t="inlineStr">
        <is>
          <t>пр. Аль-Фараби, д. 123</t>
        </is>
      </c>
      <c r="F25" s="21" t="inlineStr">
        <is>
          <t>09:00-18:00</t>
        </is>
      </c>
      <c r="G25" s="18" t="inlineStr">
        <is>
          <t>A</t>
        </is>
      </c>
      <c r="H25" s="23" t="n"/>
      <c r="I25" s="23" t="n"/>
      <c r="J25" s="23" t="n"/>
      <c r="K25" s="23" t="n"/>
      <c r="L25" s="23" t="n"/>
      <c r="M25" s="23" t="n"/>
      <c r="N25" s="23" t="n"/>
      <c r="O25" s="24">
        <f>COUNTIF(I25:N25,"Г")</f>
        <v/>
      </c>
      <c r="P25" s="24">
        <f>COUNTIF(I25:N25,"Ч")</f>
        <v/>
      </c>
      <c r="Q25" s="25" t="n"/>
      <c r="R25" s="26" t="n"/>
      <c r="S25" s="26" t="n"/>
      <c r="T25" s="26" t="n"/>
    </row>
    <row r="26" ht="26" customHeight="1">
      <c r="A26" s="18" t="n">
        <v>25</v>
      </c>
      <c r="B26" s="19" t="inlineStr">
        <is>
          <t>ВИТА</t>
        </is>
      </c>
      <c r="C26" s="20" t="inlineStr">
        <is>
          <t>+7 (7142) 51 20 08</t>
        </is>
      </c>
      <c r="D26" t="inlineStr">
        <is>
          <t>+7 777 302 70 23</t>
        </is>
      </c>
      <c r="E26" s="21" t="inlineStr">
        <is>
          <t>ул. Абая, д. 160</t>
        </is>
      </c>
      <c r="F26" s="21" t="inlineStr">
        <is>
          <t>не указаны</t>
        </is>
      </c>
      <c r="G26" s="18" t="inlineStr">
        <is>
          <t>B</t>
        </is>
      </c>
      <c r="H26" s="23" t="n"/>
      <c r="I26" s="23" t="n"/>
      <c r="J26" s="23" t="n"/>
      <c r="K26" s="23" t="n"/>
      <c r="L26" s="23" t="n"/>
      <c r="M26" s="23" t="n"/>
      <c r="N26" s="23" t="n"/>
      <c r="O26" s="24">
        <f>COUNTIF(I26:N26,"Г")</f>
        <v/>
      </c>
      <c r="P26" s="24">
        <f>COUNTIF(I26:N26,"Ч")</f>
        <v/>
      </c>
      <c r="Q26" s="25" t="n"/>
      <c r="R26" s="26" t="n"/>
      <c r="S26" s="26" t="n"/>
      <c r="T26" s="26" t="n"/>
    </row>
    <row r="27" ht="26" customHeight="1">
      <c r="A27" s="18" t="n">
        <v>26</v>
      </c>
      <c r="B27" s="19" t="inlineStr">
        <is>
          <t>НУР</t>
        </is>
      </c>
      <c r="C27" s="20" t="inlineStr">
        <is>
          <t>+7 (7142) 28 34 29</t>
        </is>
      </c>
      <c r="D27" t="inlineStr">
        <is>
          <t>+7 747 131 98 77</t>
        </is>
      </c>
      <c r="E27" s="21" t="inlineStr">
        <is>
          <t>ул. Мауленова, д. 12/4</t>
        </is>
      </c>
      <c r="F27" s="21" t="inlineStr">
        <is>
          <t>10:00-18:00</t>
        </is>
      </c>
      <c r="G27" s="18" t="inlineStr">
        <is>
          <t>A</t>
        </is>
      </c>
      <c r="H27" s="23" t="n"/>
      <c r="I27" s="23" t="n"/>
      <c r="J27" s="23" t="n"/>
      <c r="K27" s="23" t="n"/>
      <c r="L27" s="23" t="n"/>
      <c r="M27" s="23" t="n"/>
      <c r="N27" s="23" t="n"/>
      <c r="O27" s="24">
        <f>COUNTIF(I27:N27,"Г")</f>
        <v/>
      </c>
      <c r="P27" s="24">
        <f>COUNTIF(I27:N27,"Ч")</f>
        <v/>
      </c>
      <c r="Q27" s="25" t="n"/>
      <c r="R27" s="26" t="n"/>
      <c r="S27" s="26" t="n"/>
      <c r="T27" s="26" t="n"/>
    </row>
    <row r="28" ht="26" customHeight="1">
      <c r="A28" s="18" t="n">
        <v>27</v>
      </c>
      <c r="B28" s="19" t="inlineStr">
        <is>
          <t>АЙМАН</t>
        </is>
      </c>
      <c r="C28" s="20" t="inlineStr">
        <is>
          <t>+7 (7142) 28 46 72</t>
        </is>
      </c>
      <c r="D28" t="inlineStr">
        <is>
          <t>+7 705 138 04 70</t>
        </is>
      </c>
      <c r="E28" s="21" t="inlineStr">
        <is>
          <t>ул. Карбышева, д. 19</t>
        </is>
      </c>
      <c r="F28" s="21" t="inlineStr">
        <is>
          <t>не указаны</t>
        </is>
      </c>
      <c r="G28" s="18" t="inlineStr">
        <is>
          <t>B</t>
        </is>
      </c>
      <c r="H28" s="23" t="n"/>
      <c r="I28" s="23" t="n"/>
      <c r="J28" s="23" t="n"/>
      <c r="K28" s="23" t="n"/>
      <c r="L28" s="23" t="n"/>
      <c r="M28" s="23" t="n"/>
      <c r="N28" s="23" t="n"/>
      <c r="O28" s="24">
        <f>COUNTIF(I28:N28,"Г")</f>
        <v/>
      </c>
      <c r="P28" s="24">
        <f>COUNTIF(I28:N28,"Ч")</f>
        <v/>
      </c>
      <c r="Q28" s="25" t="n"/>
      <c r="R28" s="26" t="n"/>
      <c r="S28" s="26" t="n"/>
      <c r="T28" s="26" t="n"/>
    </row>
    <row r="29" ht="26" customHeight="1">
      <c r="A29" s="18" t="n">
        <v>28</v>
      </c>
      <c r="B29" s="19" t="inlineStr">
        <is>
          <t>ЕМ БЕРГЕН</t>
        </is>
      </c>
      <c r="C29" s="20" t="inlineStr">
        <is>
          <t>+7 (7142) 55 38 13</t>
        </is>
      </c>
      <c r="D29" t="inlineStr">
        <is>
          <t>+7 777 139 51 27</t>
        </is>
      </c>
      <c r="E29" s="21" t="inlineStr">
        <is>
          <t>ул. Кобланды батыра, д. 31/1</t>
        </is>
      </c>
      <c r="F29" s="21" t="inlineStr">
        <is>
          <t>не указаны</t>
        </is>
      </c>
      <c r="G29" s="18" t="inlineStr">
        <is>
          <t>B</t>
        </is>
      </c>
      <c r="H29" s="23" t="n"/>
      <c r="I29" s="23" t="n"/>
      <c r="J29" s="23" t="n"/>
      <c r="K29" s="23" t="n"/>
      <c r="L29" s="23" t="n"/>
      <c r="M29" s="23" t="n"/>
      <c r="N29" s="23" t="n"/>
      <c r="O29" s="24">
        <f>COUNTIF(I29:N29,"Г")</f>
        <v/>
      </c>
      <c r="P29" s="24">
        <f>COUNTIF(I29:N29,"Ч")</f>
        <v/>
      </c>
      <c r="Q29" s="25" t="n"/>
      <c r="R29" s="26" t="n"/>
      <c r="S29" s="26" t="n"/>
      <c r="T29" s="26" t="n"/>
    </row>
    <row r="30" ht="26" customHeight="1">
      <c r="A30" s="18" t="n">
        <v>29</v>
      </c>
      <c r="B30" s="19" t="inlineStr">
        <is>
          <t>КРОКУС</t>
        </is>
      </c>
      <c r="C30" s="20" t="inlineStr">
        <is>
          <t>+7 (7142) 50 10 10</t>
        </is>
      </c>
      <c r="D30" t="inlineStr">
        <is>
          <t>+7 700 801 88 88</t>
        </is>
      </c>
      <c r="E30" s="21" t="inlineStr">
        <is>
          <t>ул. Дощанова, д. 19</t>
        </is>
      </c>
      <c r="F30" s="21" t="inlineStr">
        <is>
          <t>не указаны</t>
        </is>
      </c>
      <c r="G30" s="18" t="inlineStr">
        <is>
          <t>B</t>
        </is>
      </c>
      <c r="H30" s="23" t="n"/>
      <c r="I30" s="23" t="n"/>
      <c r="J30" s="23" t="n"/>
      <c r="K30" s="23" t="n"/>
      <c r="L30" s="23" t="n"/>
      <c r="M30" s="23" t="n"/>
      <c r="N30" s="23" t="n"/>
      <c r="O30" s="24">
        <f>COUNTIF(I30:N30,"Г")</f>
        <v/>
      </c>
      <c r="P30" s="24">
        <f>COUNTIF(I30:N30,"Ч")</f>
        <v/>
      </c>
      <c r="Q30" s="25" t="n"/>
      <c r="R30" s="26" t="n"/>
      <c r="S30" s="26" t="n"/>
      <c r="T30" s="26" t="n"/>
    </row>
    <row r="31" ht="26" customHeight="1">
      <c r="A31" s="18" t="n">
        <v>30</v>
      </c>
      <c r="B31" s="19" t="inlineStr">
        <is>
          <t>ДАНТИСТ</t>
        </is>
      </c>
      <c r="C31" s="20" t="inlineStr">
        <is>
          <t>+7 (7142) 57 47 01</t>
        </is>
      </c>
      <c r="D31" t="inlineStr">
        <is>
          <t>+7 705 746 99 02</t>
        </is>
      </c>
      <c r="E31" s="21" t="inlineStr">
        <is>
          <t>ул. Бертрана Рубинштейна, д. 81</t>
        </is>
      </c>
      <c r="F31" s="21" t="inlineStr">
        <is>
          <t>не указаны</t>
        </is>
      </c>
      <c r="G31" s="18" t="inlineStr">
        <is>
          <t>B</t>
        </is>
      </c>
      <c r="H31" s="23" t="n"/>
      <c r="I31" s="23" t="n"/>
      <c r="J31" s="23" t="n"/>
      <c r="K31" s="23" t="n"/>
      <c r="L31" s="23" t="n"/>
      <c r="M31" s="23" t="n"/>
      <c r="N31" s="23" t="n"/>
      <c r="O31" s="24">
        <f>COUNTIF(I31:N31,"Г")</f>
        <v/>
      </c>
      <c r="P31" s="24">
        <f>COUNTIF(I31:N31,"Ч")</f>
        <v/>
      </c>
      <c r="Q31" s="25" t="n"/>
      <c r="R31" s="26" t="n"/>
      <c r="S31" s="26" t="n"/>
      <c r="T31" s="26" t="n"/>
    </row>
    <row r="32" ht="26" customHeight="1">
      <c r="A32" s="18" t="n">
        <v>31</v>
      </c>
      <c r="B32" s="19" t="inlineStr">
        <is>
          <t>BEST</t>
        </is>
      </c>
      <c r="C32" s="20" t="inlineStr">
        <is>
          <t>+7 705 832 30 57</t>
        </is>
      </c>
      <c r="E32" s="21" t="inlineStr">
        <is>
          <t>ул. Байтурсынова, д. 45</t>
        </is>
      </c>
      <c r="F32" s="21" t="inlineStr">
        <is>
          <t>не указаны</t>
        </is>
      </c>
      <c r="G32" s="18" t="inlineStr">
        <is>
          <t>B</t>
        </is>
      </c>
      <c r="H32" s="23" t="n"/>
      <c r="I32" s="23" t="n"/>
      <c r="J32" s="23" t="n"/>
      <c r="K32" s="23" t="n"/>
      <c r="L32" s="23" t="n"/>
      <c r="M32" s="23" t="n"/>
      <c r="N32" s="23" t="n"/>
      <c r="O32" s="24">
        <f>COUNTIF(I32:N32,"Г")</f>
        <v/>
      </c>
      <c r="P32" s="24">
        <f>COUNTIF(I32:N32,"Ч")</f>
        <v/>
      </c>
      <c r="Q32" s="25" t="n"/>
      <c r="R32" s="26" t="n"/>
      <c r="S32" s="26" t="n"/>
      <c r="T32" s="26" t="n"/>
    </row>
    <row r="33" ht="26" customHeight="1">
      <c r="A33" s="18" t="n">
        <v>32</v>
      </c>
      <c r="B33" s="19" t="inlineStr">
        <is>
          <t>ЖЕМЧУЖИНА СТОМЕД в мкр 8</t>
        </is>
      </c>
      <c r="C33" s="20" t="inlineStr">
        <is>
          <t>+7 (7142) 22 58 03</t>
        </is>
      </c>
      <c r="D33" t="inlineStr">
        <is>
          <t>+7 707 662 60 27</t>
        </is>
      </c>
      <c r="E33" s="21" t="inlineStr">
        <is>
          <t>мкр 8, д. 19</t>
        </is>
      </c>
      <c r="F33" s="21" t="inlineStr">
        <is>
          <t>не указаны</t>
        </is>
      </c>
      <c r="G33" s="18" t="inlineStr">
        <is>
          <t>B</t>
        </is>
      </c>
      <c r="H33" s="23" t="n"/>
      <c r="I33" s="23" t="n"/>
      <c r="J33" s="23" t="n"/>
      <c r="K33" s="23" t="n"/>
      <c r="L33" s="23" t="n"/>
      <c r="M33" s="23" t="n"/>
      <c r="N33" s="23" t="n"/>
      <c r="O33" s="24">
        <f>COUNTIF(I33:N33,"Г")</f>
        <v/>
      </c>
      <c r="P33" s="24">
        <f>COUNTIF(I33:N33,"Ч")</f>
        <v/>
      </c>
      <c r="Q33" s="25" t="n"/>
      <c r="R33" s="26" t="n"/>
      <c r="S33" s="26" t="n"/>
      <c r="T33" s="26" t="n"/>
    </row>
    <row r="34" ht="26" customHeight="1">
      <c r="A34" s="18" t="n">
        <v>33</v>
      </c>
      <c r="B34" s="19" t="inlineStr">
        <is>
          <t>PREMIUM DENT</t>
        </is>
      </c>
      <c r="C34" s="20" t="inlineStr">
        <is>
          <t>+7 (7142) 50 33 27</t>
        </is>
      </c>
      <c r="D34" t="inlineStr">
        <is>
          <t>+7 777 391 25 95</t>
        </is>
      </c>
      <c r="E34" s="21" t="inlineStr">
        <is>
          <t>ул. Гоголя, д. 87</t>
        </is>
      </c>
      <c r="F34" s="21" t="inlineStr">
        <is>
          <t>09:00-17:00</t>
        </is>
      </c>
      <c r="G34" s="18" t="inlineStr">
        <is>
          <t>A</t>
        </is>
      </c>
      <c r="H34" s="23" t="n"/>
      <c r="I34" s="23" t="n"/>
      <c r="J34" s="23" t="n"/>
      <c r="K34" s="23" t="n"/>
      <c r="L34" s="23" t="n"/>
      <c r="M34" s="23" t="n"/>
      <c r="N34" s="23" t="n"/>
      <c r="O34" s="24">
        <f>COUNTIF(I34:N34,"Г")</f>
        <v/>
      </c>
      <c r="P34" s="24">
        <f>COUNTIF(I34:N34,"Ч")</f>
        <v/>
      </c>
      <c r="Q34" s="25" t="n"/>
      <c r="R34" s="26" t="n"/>
      <c r="S34" s="26" t="n"/>
      <c r="T34" s="26" t="n"/>
    </row>
    <row r="35" ht="26" customHeight="1">
      <c r="A35" s="18" t="n">
        <v>34</v>
      </c>
      <c r="B35" s="19" t="inlineStr">
        <is>
          <t>Кабинет на Кобланды батыра 21Б</t>
        </is>
      </c>
      <c r="C35" s="20" t="inlineStr">
        <is>
          <t>+7 (7142) 75 35 66</t>
        </is>
      </c>
      <c r="D35" t="inlineStr">
        <is>
          <t>+7 705 506 37 53</t>
        </is>
      </c>
      <c r="E35" s="21" t="inlineStr">
        <is>
          <t>ул. Кобланды батыра, д. 21Б</t>
        </is>
      </c>
      <c r="F35" s="21" t="inlineStr">
        <is>
          <t>не указаны</t>
        </is>
      </c>
      <c r="G35" s="18" t="inlineStr">
        <is>
          <t>B</t>
        </is>
      </c>
      <c r="H35" s="23" t="n"/>
      <c r="I35" s="23" t="n"/>
      <c r="J35" s="23" t="n"/>
      <c r="K35" s="23" t="n"/>
      <c r="L35" s="23" t="n"/>
      <c r="M35" s="23" t="n"/>
      <c r="N35" s="23" t="n"/>
      <c r="O35" s="24">
        <f>COUNTIF(I35:N35,"Г")</f>
        <v/>
      </c>
      <c r="P35" s="24">
        <f>COUNTIF(I35:N35,"Ч")</f>
        <v/>
      </c>
      <c r="Q35" s="25" t="n"/>
      <c r="R35" s="26" t="n"/>
      <c r="S35" s="26" t="n"/>
      <c r="T35" s="26" t="n"/>
    </row>
    <row r="36" ht="26" customHeight="1">
      <c r="A36" s="18" t="n">
        <v>35</v>
      </c>
      <c r="B36" s="19" t="inlineStr">
        <is>
          <t>БЕРИК &amp; К</t>
        </is>
      </c>
      <c r="C36" s="20" t="inlineStr">
        <is>
          <t>+7 701 456 95 57</t>
        </is>
      </c>
      <c r="D36" t="inlineStr">
        <is>
          <t>+7 (7132) 54 30 31</t>
        </is>
      </c>
      <c r="E36" s="21" t="inlineStr">
        <is>
          <t>ул. Касымханова, д. 114</t>
        </is>
      </c>
      <c r="F36" s="21" t="inlineStr">
        <is>
          <t>09:00-18:00</t>
        </is>
      </c>
      <c r="G36" s="18" t="inlineStr">
        <is>
          <t>A</t>
        </is>
      </c>
      <c r="H36" s="23" t="n"/>
      <c r="I36" s="23" t="n"/>
      <c r="J36" s="23" t="n"/>
      <c r="K36" s="23" t="n"/>
      <c r="L36" s="23" t="n"/>
      <c r="M36" s="23" t="n"/>
      <c r="N36" s="23" t="n"/>
      <c r="O36" s="24">
        <f>COUNTIF(I36:N36,"Г")</f>
        <v/>
      </c>
      <c r="P36" s="24">
        <f>COUNTIF(I36:N36,"Ч")</f>
        <v/>
      </c>
      <c r="Q36" s="25" t="n"/>
      <c r="R36" s="26" t="n"/>
      <c r="S36" s="26" t="n"/>
      <c r="T36" s="26" t="n"/>
    </row>
    <row r="37" ht="26" customHeight="1">
      <c r="A37" s="18" t="n">
        <v>36</v>
      </c>
      <c r="B37" s="19" t="inlineStr">
        <is>
          <t>Кабинет при аптеке «Домик аптекаря»</t>
        </is>
      </c>
      <c r="C37" s="20" t="inlineStr">
        <is>
          <t>+7 777 379 13 74</t>
        </is>
      </c>
      <c r="D37" t="inlineStr">
        <is>
          <t>+7 777 379 13 75</t>
        </is>
      </c>
      <c r="E37" s="21" t="inlineStr">
        <is>
          <t>мкр 8, д. 8А</t>
        </is>
      </c>
      <c r="F37" s="21" t="inlineStr">
        <is>
          <t>не указаны</t>
        </is>
      </c>
      <c r="G37" s="18" t="inlineStr">
        <is>
          <t>B</t>
        </is>
      </c>
      <c r="H37" s="23" t="n"/>
      <c r="I37" s="23" t="n"/>
      <c r="J37" s="23" t="n"/>
      <c r="K37" s="23" t="n"/>
      <c r="L37" s="23" t="n"/>
      <c r="M37" s="23" t="n"/>
      <c r="N37" s="23" t="n"/>
      <c r="O37" s="24">
        <f>COUNTIF(I37:N37,"Г")</f>
        <v/>
      </c>
      <c r="P37" s="24">
        <f>COUNTIF(I37:N37,"Ч")</f>
        <v/>
      </c>
      <c r="Q37" s="25" t="n"/>
      <c r="R37" s="26" t="n"/>
      <c r="S37" s="26" t="n"/>
      <c r="T37" s="26" t="n"/>
    </row>
    <row r="38" ht="26" customHeight="1">
      <c r="A38" s="18" t="n">
        <v>37</v>
      </c>
      <c r="B38" s="19" t="inlineStr">
        <is>
          <t>Стоматология на Леонида Беды</t>
        </is>
      </c>
      <c r="C38" s="20" t="inlineStr">
        <is>
          <t>+7 777 304 15 63</t>
        </is>
      </c>
      <c r="D38" t="inlineStr">
        <is>
          <t>+7 701 764 06 80</t>
        </is>
      </c>
      <c r="E38" s="21" t="inlineStr">
        <is>
          <t>ул. Леонида Беды, д. 26</t>
        </is>
      </c>
      <c r="F38" s="21" t="inlineStr">
        <is>
          <t>не указаны</t>
        </is>
      </c>
      <c r="G38" s="18" t="inlineStr">
        <is>
          <t>B</t>
        </is>
      </c>
      <c r="H38" s="23" t="n"/>
      <c r="I38" s="23" t="n"/>
      <c r="J38" s="23" t="n"/>
      <c r="K38" s="23" t="n"/>
      <c r="L38" s="23" t="n"/>
      <c r="M38" s="23" t="n"/>
      <c r="N38" s="23" t="n"/>
      <c r="O38" s="24">
        <f>COUNTIF(I38:N38,"Г")</f>
        <v/>
      </c>
      <c r="P38" s="24">
        <f>COUNTIF(I38:N38,"Ч")</f>
        <v/>
      </c>
      <c r="Q38" s="25" t="n"/>
      <c r="R38" s="26" t="n"/>
      <c r="S38" s="26" t="n"/>
      <c r="T38" s="26" t="n"/>
    </row>
    <row r="39" ht="26" customHeight="1">
      <c r="A39" s="18" t="n">
        <v>38</v>
      </c>
      <c r="B39" s="19" t="inlineStr">
        <is>
          <t>ДЕНТА</t>
        </is>
      </c>
      <c r="C39" s="20" t="inlineStr">
        <is>
          <t>+7 (7142) 53 21 34</t>
        </is>
      </c>
      <c r="E39" s="21" t="inlineStr">
        <is>
          <t>ул. Пушкина, д. 65</t>
        </is>
      </c>
      <c r="F39" s="21" t="inlineStr">
        <is>
          <t>не указаны</t>
        </is>
      </c>
      <c r="G39" s="18" t="inlineStr">
        <is>
          <t>B</t>
        </is>
      </c>
      <c r="H39" s="23" t="n"/>
      <c r="I39" s="23" t="n"/>
      <c r="J39" s="23" t="n"/>
      <c r="K39" s="23" t="n"/>
      <c r="L39" s="23" t="n"/>
      <c r="M39" s="23" t="n"/>
      <c r="N39" s="23" t="n"/>
      <c r="O39" s="24">
        <f>COUNTIF(I39:N39,"Г")</f>
        <v/>
      </c>
      <c r="P39" s="24">
        <f>COUNTIF(I39:N39,"Ч")</f>
        <v/>
      </c>
      <c r="Q39" s="25" t="n"/>
      <c r="R39" s="26" t="n"/>
      <c r="S39" s="26" t="n"/>
      <c r="T39" s="26" t="n"/>
    </row>
    <row r="40" ht="26" customHeight="1">
      <c r="A40" s="18" t="n">
        <v>39</v>
      </c>
      <c r="B40" s="19" t="inlineStr">
        <is>
          <t>А-СТОМ</t>
        </is>
      </c>
      <c r="C40" s="20" t="inlineStr">
        <is>
          <t>+7 (7142) 54 34 86</t>
        </is>
      </c>
      <c r="D40" t="inlineStr">
        <is>
          <t>+7 777 230 53 80</t>
        </is>
      </c>
      <c r="E40" s="21" t="inlineStr">
        <is>
          <t>ул. Амангельды, д. 76</t>
        </is>
      </c>
      <c r="F40" s="21" t="inlineStr">
        <is>
          <t>не указаны</t>
        </is>
      </c>
      <c r="G40" s="18" t="inlineStr">
        <is>
          <t>B</t>
        </is>
      </c>
      <c r="H40" s="23" t="n"/>
      <c r="I40" s="23" t="n"/>
      <c r="J40" s="23" t="n"/>
      <c r="K40" s="23" t="n"/>
      <c r="L40" s="23" t="n"/>
      <c r="M40" s="23" t="n"/>
      <c r="N40" s="23" t="n"/>
      <c r="O40" s="24">
        <f>COUNTIF(I40:N40,"Г")</f>
        <v/>
      </c>
      <c r="P40" s="24">
        <f>COUNTIF(I40:N40,"Ч")</f>
        <v/>
      </c>
      <c r="Q40" s="25" t="n"/>
      <c r="R40" s="26" t="n"/>
      <c r="S40" s="26" t="n"/>
      <c r="T40" s="26" t="n"/>
    </row>
    <row r="41" ht="26" customHeight="1">
      <c r="A41" s="18" t="n">
        <v>40</v>
      </c>
      <c r="B41" s="19" t="inlineStr">
        <is>
          <t>Медцентр САЕ</t>
        </is>
      </c>
      <c r="C41" s="20" t="inlineStr">
        <is>
          <t>+7 (7142) 56 52 52</t>
        </is>
      </c>
      <c r="E41" s="21" t="inlineStr">
        <is>
          <t>ул. Каирбекова, д. 369</t>
        </is>
      </c>
      <c r="F41" s="21" t="inlineStr">
        <is>
          <t>не указаны</t>
        </is>
      </c>
      <c r="G41" s="18" t="inlineStr">
        <is>
          <t>B</t>
        </is>
      </c>
      <c r="H41" s="23" t="n"/>
      <c r="I41" s="23" t="n"/>
      <c r="J41" s="23" t="n"/>
      <c r="K41" s="23" t="n"/>
      <c r="L41" s="23" t="n"/>
      <c r="M41" s="23" t="n"/>
      <c r="N41" s="23" t="n"/>
      <c r="O41" s="24">
        <f>COUNTIF(I41:N41,"Г")</f>
        <v/>
      </c>
      <c r="P41" s="24">
        <f>COUNTIF(I41:N41,"Ч")</f>
        <v/>
      </c>
      <c r="Q41" s="25" t="n"/>
      <c r="R41" s="26" t="n"/>
      <c r="S41" s="26" t="n"/>
      <c r="T41" s="26" t="n"/>
    </row>
    <row r="42" ht="26" customHeight="1">
      <c r="A42" s="18" t="n">
        <v>41</v>
      </c>
      <c r="B42" s="19" t="inlineStr">
        <is>
          <t>Областная детская стоматполиклиника</t>
        </is>
      </c>
      <c r="C42" s="20" t="inlineStr">
        <is>
          <t>+7 (7142) 52 40 69</t>
        </is>
      </c>
      <c r="D42" t="inlineStr">
        <is>
          <t>+7 702 010 27 98</t>
        </is>
      </c>
      <c r="E42" s="21" t="inlineStr">
        <is>
          <t>ул. Баймагамбетова, д. 168</t>
        </is>
      </c>
      <c r="F42" s="21" t="inlineStr">
        <is>
          <t>не указаны</t>
        </is>
      </c>
      <c r="G42" s="18" t="inlineStr">
        <is>
          <t>B</t>
        </is>
      </c>
      <c r="H42" s="23" t="n"/>
      <c r="I42" s="23" t="n"/>
      <c r="J42" s="23" t="n"/>
      <c r="K42" s="23" t="n"/>
      <c r="L42" s="23" t="n"/>
      <c r="M42" s="23" t="n"/>
      <c r="N42" s="23" t="n"/>
      <c r="O42" s="24">
        <f>COUNTIF(I42:N42,"Г")</f>
        <v/>
      </c>
      <c r="P42" s="24">
        <f>COUNTIF(I42:N42,"Ч")</f>
        <v/>
      </c>
      <c r="Q42" s="25" t="n"/>
      <c r="R42" s="26" t="n"/>
      <c r="S42" s="26" t="n"/>
      <c r="T42" s="26" t="n"/>
    </row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  <row r="55" ht="26" customHeight="1"/>
    <row r="56" ht="26" customHeight="1"/>
    <row r="57" ht="26" customHeight="1"/>
    <row r="58" ht="26" customHeight="1"/>
    <row r="59" ht="26" customHeight="1"/>
    <row r="60" ht="26" customHeight="1"/>
    <row r="61" ht="26" customHeight="1"/>
    <row r="62" ht="26" customHeight="1"/>
    <row r="63" ht="26" customHeight="1"/>
    <row r="64" ht="26" customHeight="1"/>
    <row r="65" ht="26" customHeight="1"/>
    <row r="66" ht="26" customHeight="1"/>
    <row r="67" ht="26" customHeight="1"/>
    <row r="68" ht="26" customHeight="1"/>
    <row r="69" ht="26" customHeight="1"/>
    <row r="70" ht="26" customHeight="1"/>
    <row r="71" ht="26" customHeight="1"/>
    <row r="72" ht="26" customHeight="1"/>
    <row r="73" ht="26" customHeight="1"/>
    <row r="74" ht="26" customHeight="1"/>
    <row r="75" ht="26" customHeight="1"/>
    <row r="76" ht="26" customHeight="1"/>
    <row r="77" ht="26" customHeight="1"/>
    <row r="78" ht="26" customHeight="1"/>
    <row r="79" ht="26" customHeight="1"/>
    <row r="80" ht="26" customHeight="1"/>
    <row r="81" ht="26" customHeight="1"/>
    <row r="82" ht="26" customHeight="1"/>
    <row r="83" ht="26" customHeight="1"/>
    <row r="84" ht="26" customHeight="1"/>
    <row r="85" ht="26" customHeight="1"/>
    <row r="86" ht="26" customHeight="1"/>
    <row r="87" ht="26" customHeight="1"/>
    <row r="88" ht="26" customHeight="1"/>
    <row r="89" ht="26" customHeight="1"/>
    <row r="90" ht="26" customHeight="1"/>
    <row r="91" ht="26" customHeight="1"/>
    <row r="92" ht="26" customHeight="1"/>
    <row r="93" ht="26" customHeight="1"/>
    <row r="94" ht="26" customHeight="1"/>
    <row r="95" ht="26" customHeight="1"/>
    <row r="96" ht="26" customHeight="1"/>
    <row r="97" ht="26" customHeight="1"/>
    <row r="98" ht="26" customHeight="1"/>
    <row r="99" ht="26" customHeight="1"/>
    <row r="100" ht="26" customHeight="1"/>
    <row r="101" ht="26" customHeight="1"/>
    <row r="102" ht="26" customHeight="1"/>
  </sheetData>
  <autoFilter ref="A1:T42"/>
  <conditionalFormatting sqref="G2:M102">
    <cfRule type="cellIs" priority="1" operator="equal" dxfId="0">
      <formula>"Г"</formula>
    </cfRule>
    <cfRule type="cellIs" priority="2" operator="equal" dxfId="1">
      <formula>"Ч"</formula>
    </cfRule>
    <cfRule type="cellIs" priority="3" operator="equal" dxfId="2">
      <formula>"А"</formula>
    </cfRule>
  </conditionalFormatting>
  <dataValidations count="1">
    <dataValidation sqref="G2:M102" showDropDown="0" showInputMessage="0" showErrorMessage="0" allowBlank="1" errorTitle="Неизвестный код" error="Только: Ч, А, Г, З, Н, С" promptTitle="Итог звонка" prompt="Ч — ответил человек&#10;А — автоответчик&#10;Г — гудки&#10;З — занято&#10;Н — недоступен&#10;С — сбросили" type="list">
      <formula1>"Ч,А,Г,З,Н,С"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27" t="inlineStr">
        <is>
          <t>Итоги обзвона</t>
        </is>
      </c>
    </row>
    <row r="2">
      <c r="A2" s="2" t="inlineStr">
        <is>
          <t>Считается автоматически по листу «Обзвон». Ничего заполнять не нужно.</t>
        </is>
      </c>
    </row>
    <row r="4" ht="28" customHeight="1">
      <c r="A4" s="28" t="inlineStr">
        <is>
          <t>Окно</t>
        </is>
      </c>
      <c r="B4" s="28" t="inlineStr">
        <is>
          <t>Сделано звонков</t>
        </is>
      </c>
      <c r="C4" s="28" t="inlineStr">
        <is>
          <t>Ответил человек</t>
        </is>
      </c>
      <c r="D4" s="28" t="inlineStr">
        <is>
          <t>Гудки без ответа</t>
        </is>
      </c>
      <c r="E4" s="28" t="inlineStr">
        <is>
          <t>Доля гудков</t>
        </is>
      </c>
    </row>
    <row r="5">
      <c r="A5" s="29" t="inlineStr">
        <is>
          <t>Рабочее время</t>
        </is>
      </c>
      <c r="B5" s="30">
        <f>COUNTA(Обзвон!$H$2:$H$42)</f>
        <v/>
      </c>
      <c r="C5" s="30">
        <f>COUNTIF(Обзвон!$H$2:$H$42,"Ч")</f>
        <v/>
      </c>
      <c r="D5" s="30">
        <f>COUNTIF(Обзвон!$H$2:$H$42,"Г")</f>
        <v/>
      </c>
      <c r="E5" s="31">
        <f>IFERROR(COUNTIF(Обзвон!$H$2:$H$42,"Г")/COUNTA(Обзвон!$H$2:$H$42),"")</f>
        <v/>
      </c>
    </row>
    <row r="6">
      <c r="A6" s="32" t="inlineStr">
        <is>
          <t>Будний вечер</t>
        </is>
      </c>
      <c r="B6" s="33">
        <f>COUNTA(Обзвон!$I$2:$J$42)</f>
        <v/>
      </c>
      <c r="C6" s="33">
        <f>COUNTIF(Обзвон!$I$2:$J$42,"Ч")</f>
        <v/>
      </c>
      <c r="D6" s="33">
        <f>COUNTIF(Обзвон!$I$2:$J$42,"Г")</f>
        <v/>
      </c>
      <c r="E6" s="34">
        <f>IFERROR(COUNTIF(Обзвон!$I$2:$J$42,"Г")/COUNTA(Обзвон!$I$2:$J$42),"")</f>
        <v/>
      </c>
    </row>
    <row r="7">
      <c r="A7" s="29" t="inlineStr">
        <is>
          <t>Суббота</t>
        </is>
      </c>
      <c r="B7" s="30">
        <f>COUNTA(Обзвон!$K$2:$L$42)</f>
        <v/>
      </c>
      <c r="C7" s="30">
        <f>COUNTIF(Обзвон!$K$2:$L$42,"Ч")</f>
        <v/>
      </c>
      <c r="D7" s="30">
        <f>COUNTIF(Обзвон!$K$2:$L$42,"Г")</f>
        <v/>
      </c>
      <c r="E7" s="31">
        <f>IFERROR(COUNTIF(Обзвон!$K$2:$L$42,"Г")/COUNTA(Обзвон!$K$2:$L$42),"")</f>
        <v/>
      </c>
    </row>
    <row r="8">
      <c r="A8" s="32" t="inlineStr">
        <is>
          <t>Воскресенье</t>
        </is>
      </c>
      <c r="B8" s="33">
        <f>COUNTA(Обзвон!$M$2:$N$42)</f>
        <v/>
      </c>
      <c r="C8" s="33">
        <f>COUNTIF(Обзвон!$M$2:$N$42,"Ч")</f>
        <v/>
      </c>
      <c r="D8" s="33">
        <f>COUNTIF(Обзвон!$M$2:$N$42,"Г")</f>
        <v/>
      </c>
      <c r="E8" s="34">
        <f>IFERROR(COUNTIF(Обзвон!$M$2:$N$42,"Г")/COUNTA(Обзвон!$M$2:$N$42),"")</f>
        <v/>
      </c>
    </row>
    <row r="9"/>
    <row r="10"/>
    <row r="11">
      <c r="A11" s="35" t="inlineStr">
        <is>
          <t>Что это значит</t>
        </is>
      </c>
    </row>
    <row r="12">
      <c r="A12" s="36" t="inlineStr">
        <is>
          <t>Порог по вечернему окну</t>
        </is>
      </c>
      <c r="B12" s="37">
        <f>IF(E6="","нет данных",IF(E6&gt;0.4,"Продолжаем — гипотеза держится",IF(E6&lt;0.25,"Дверь закрыта — менять нишу или окно","Пограничная зона — смотреть качество ответов")))</f>
        <v/>
      </c>
    </row>
    <row r="13"/>
    <row r="14" ht="16" customHeight="1">
      <c r="A14" s="38" t="inlineStr">
        <is>
          <t>• Больше 40% гудков вечером — продолжаем.</t>
        </is>
      </c>
    </row>
    <row r="15" ht="16" customHeight="1">
      <c r="A15" s="38" t="inlineStr">
        <is>
          <t>• Меньше 25% — клиники закрывают вечер сами, эта дверь не наша.</t>
        </is>
      </c>
    </row>
    <row r="16" ht="16" customHeight="1">
      <c r="A16" s="38" t="inlineStr">
        <is>
          <t>• Между 25% и 40% — смотрим заметки: автоответчик без записи и «перезвоните завтра» считаем потерянным звонком.</t>
        </is>
      </c>
    </row>
    <row r="17"/>
    <row r="18"/>
    <row r="19">
      <c r="A19" s="35" t="inlineStr">
        <is>
          <t>Кандидаты на разговор</t>
        </is>
      </c>
    </row>
    <row r="20" ht="30" customHeight="1">
      <c r="A20" s="38" t="inlineStr">
        <is>
          <t>Отсортируйте лист «Обзвон» по колонке «Гудков» по убыванию. Сверху окажутся клиники, которые не ответили ни разу — с них и начинаем.</t>
        </is>
      </c>
    </row>
    <row r="21"/>
    <row r="22">
      <c r="A22" s="39" t="inlineStr">
        <is>
          <t>Клиник, не ответивших ни разу (6 из 6)</t>
        </is>
      </c>
      <c r="B22" s="37">
        <f>COUNTIF(Обзвон!$O$2:$O$42,6)</f>
        <v/>
      </c>
    </row>
    <row r="23">
      <c r="A23" s="39" t="inlineStr">
        <is>
          <t>Клиник, где хотя бы раз ответил человек</t>
        </is>
      </c>
      <c r="B23" s="40">
        <f>COUNTIF(Обзвон!$P$2:$P$42,"&gt;0")</f>
        <v/>
      </c>
    </row>
  </sheetData>
  <mergeCells count="4">
    <mergeCell ref="A16:E16"/>
    <mergeCell ref="A15:E15"/>
    <mergeCell ref="A20:E20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2026-08-25T07:17:38Z</dcterms:created>
  <dcterms:modified xsi:type="dcterms:W3CDTF">2026-09-01T16:00:58Z</dcterms:modified>
</cp:coreProperties>
</file>